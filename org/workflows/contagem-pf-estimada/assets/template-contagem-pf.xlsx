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8" yWindow="-108" windowWidth="23256" windowHeight="12456" tabRatio="734" firstSheet="0" activeTab="1" autoFilterDateGrouping="1"/>
  </bookViews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Deflatores" sheetId="3" state="visible" r:id="rId3"/>
    <sheet xmlns:r="http://schemas.openxmlformats.org/officeDocument/2006/relationships" name="Sumário 1" sheetId="4" state="visible" r:id="rId4"/>
    <sheet xmlns:r="http://schemas.openxmlformats.org/officeDocument/2006/relationships" name="Sumário 2" sheetId="5" state="visible" r:id="rId5"/>
  </sheets>
  <definedNames>
    <definedName name="_xlnm.Print_Area" localSheetId="0">'Contagem'!$A$1:$V$45</definedName>
    <definedName name="_Toc142373946" localSheetId="1">Funções!$A$10</definedName>
    <definedName name="_Toc142373955" localSheetId="1">Funções!$A$28</definedName>
    <definedName name="_Toc199162154" localSheetId="1">Funções!$O$9</definedName>
    <definedName name="TiposDeFuncao" localSheetId="1">Deflatores!$L$37:$L$64</definedName>
    <definedName name="TiposDeManutencao" localSheetId="1">Deflatores!$G$4:$G$38</definedName>
    <definedName name="_xlnm.Print_Titles" localSheetId="1">'Funções'!$1:$7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* #,##0.00\ ;* \(#,##0.00\);* \-#\ ;@\ "/>
    <numFmt numFmtId="166" formatCode="0.0000"/>
    <numFmt numFmtId="167" formatCode="dd/mm/yy"/>
  </numFmts>
  <fonts count="21">
    <font>
      <name val="Arial"/>
      <family val="2"/>
      <sz val="10"/>
    </font>
    <font>
      <name val="Calibri"/>
      <family val="2"/>
      <b val="1"/>
      <color indexed="56"/>
      <sz val="15"/>
    </font>
    <font>
      <name val="Franklin Gothic Medium"/>
      <family val="2"/>
      <sz val="10"/>
    </font>
    <font>
      <name val="Franklin Gothic Medium"/>
      <family val="2"/>
      <b val="1"/>
      <sz val="12"/>
    </font>
    <font>
      <name val="Franklin Gothic Medium"/>
      <family val="2"/>
      <color indexed="12"/>
      <sz val="9"/>
    </font>
    <font>
      <name val="Franklin Gothic Medium"/>
      <family val="2"/>
      <sz val="9"/>
    </font>
    <font>
      <name val="Franklin Gothic Medium"/>
      <family val="2"/>
      <b val="1"/>
      <sz val="10"/>
    </font>
    <font>
      <name val="Times New Roman"/>
      <family val="1"/>
      <b val="1"/>
      <color indexed="63"/>
      <sz val="8.5"/>
    </font>
    <font>
      <name val="Times New Roman"/>
      <family val="1"/>
      <color indexed="63"/>
      <sz val="8.5"/>
    </font>
    <font>
      <name val="Times New Roman"/>
      <family val="1"/>
      <b val="1"/>
      <sz val="8.5"/>
    </font>
    <font>
      <name val="Franklin Gothic Medium"/>
      <family val="2"/>
      <sz val="8"/>
    </font>
    <font>
      <name val="Tahoma"/>
      <family val="2"/>
      <b val="1"/>
      <color indexed="8"/>
      <sz val="8"/>
    </font>
    <font>
      <name val="Tahoma"/>
      <family val="2"/>
      <color indexed="8"/>
      <sz val="8"/>
    </font>
    <font>
      <name val="Franklin Gothic Medium"/>
      <family val="2"/>
      <color indexed="63"/>
      <sz val="9"/>
    </font>
    <font>
      <name val="Franklin Gothic Medium"/>
      <family val="2"/>
      <b val="1"/>
      <sz val="9"/>
    </font>
    <font>
      <name val="Arial"/>
      <family val="2"/>
      <sz val="10"/>
    </font>
    <font>
      <name val="Times New Roman"/>
      <family val="1"/>
      <color indexed="81"/>
      <sz val="8.5"/>
    </font>
    <font>
      <name val="Arial"/>
      <family val="2"/>
      <sz val="8"/>
    </font>
    <font>
      <name val="Franklin Gothic Medium"/>
      <family val="2"/>
      <color theme="0"/>
      <sz val="9"/>
    </font>
    <font>
      <name val="Franklin Gothic Medium"/>
      <family val="2"/>
      <color theme="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6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4">
    <xf numFmtId="0" fontId="15" fillId="0" borderId="0"/>
    <xf numFmtId="9" fontId="15" fillId="0" borderId="0"/>
    <xf numFmtId="0" fontId="1" fillId="0" borderId="1"/>
    <xf numFmtId="165" fontId="15" fillId="0" borderId="0"/>
  </cellStyleXfs>
  <cellXfs count="220">
    <xf numFmtId="0" fontId="0" fillId="0" borderId="0" pivotButton="0" quotePrefix="0" xfId="0"/>
    <xf numFmtId="0" fontId="2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4" fontId="10" fillId="2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4" fontId="10" fillId="2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4" fontId="5" fillId="2" borderId="10" applyAlignment="1" pivotButton="0" quotePrefix="0" xfId="3">
      <alignment horizontal="center"/>
    </xf>
    <xf numFmtId="0" fontId="13" fillId="2" borderId="3" applyAlignment="1" pivotButton="0" quotePrefix="0" xfId="0">
      <alignment horizontal="left" vertical="center"/>
    </xf>
    <xf numFmtId="3" fontId="5" fillId="2" borderId="2" applyAlignment="1" pivotButton="0" quotePrefix="0" xfId="3">
      <alignment horizontal="center"/>
    </xf>
    <xf numFmtId="0" fontId="13" fillId="2" borderId="11" applyAlignment="1" pivotButton="0" quotePrefix="0" xfId="0">
      <alignment horizontal="center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3" fontId="5" fillId="2" borderId="12" applyAlignment="1" pivotButton="0" quotePrefix="0" xfId="3">
      <alignment horizontal="center"/>
    </xf>
    <xf numFmtId="4" fontId="5" fillId="2" borderId="13" applyAlignment="1" pivotButton="0" quotePrefix="0" xfId="3">
      <alignment horizontal="center"/>
    </xf>
    <xf numFmtId="164" fontId="5" fillId="0" borderId="0" pivotButton="0" quotePrefix="0" xfId="1"/>
    <xf numFmtId="164" fontId="5" fillId="0" borderId="14" pivotButton="0" quotePrefix="0" xfId="1"/>
    <xf numFmtId="0" fontId="5" fillId="0" borderId="15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1" fontId="5" fillId="2" borderId="2" applyAlignment="1" pivotButton="0" quotePrefix="0" xfId="0">
      <alignment horizontal="center"/>
    </xf>
    <xf numFmtId="2" fontId="5" fillId="2" borderId="2" applyAlignment="1" pivotButton="0" quotePrefix="0" xfId="0">
      <alignment horizontal="center"/>
    </xf>
    <xf numFmtId="10" fontId="5" fillId="2" borderId="2" applyAlignment="1" pivotButton="0" quotePrefix="0" xfId="1">
      <alignment horizontal="center"/>
    </xf>
    <xf numFmtId="2" fontId="5" fillId="0" borderId="2" applyAlignment="1" pivotButton="0" quotePrefix="0" xfId="1">
      <alignment horizontal="center"/>
    </xf>
    <xf numFmtId="2" fontId="14" fillId="3" borderId="2" applyAlignment="1" pivotButton="0" quotePrefix="0" xfId="1">
      <alignment horizontal="center"/>
    </xf>
    <xf numFmtId="0" fontId="0" fillId="0" borderId="16" pivotButton="0" quotePrefix="0" xfId="0"/>
    <xf numFmtId="0" fontId="5" fillId="0" borderId="2" applyAlignment="1" pivotButton="0" quotePrefix="0" xfId="0">
      <alignment horizontal="center"/>
    </xf>
    <xf numFmtId="0" fontId="0" fillId="0" borderId="17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0" borderId="20" pivotButton="0" quotePrefix="0" xfId="0"/>
    <xf numFmtId="0" fontId="14" fillId="0" borderId="21" applyAlignment="1" pivotButton="0" quotePrefix="0" xfId="0">
      <alignment horizontal="center"/>
    </xf>
    <xf numFmtId="0" fontId="5" fillId="0" borderId="0" pivotButton="0" quotePrefix="0" xfId="0"/>
    <xf numFmtId="0" fontId="5" fillId="0" borderId="1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6" pivotButton="0" quotePrefix="0" xfId="0"/>
    <xf numFmtId="2" fontId="5" fillId="0" borderId="16" applyAlignment="1" pivotButton="0" quotePrefix="0" xfId="0">
      <alignment vertical="center"/>
    </xf>
    <xf numFmtId="0" fontId="5" fillId="0" borderId="14" pivotButton="0" quotePrefix="0" xfId="0"/>
    <xf numFmtId="0" fontId="5" fillId="0" borderId="21" pivotButton="0" quotePrefix="0" xfId="0"/>
    <xf numFmtId="10" fontId="5" fillId="0" borderId="14" pivotButton="0" quotePrefix="0" xfId="0"/>
    <xf numFmtId="2" fontId="5" fillId="0" borderId="0" pivotButton="0" quotePrefix="0" xfId="0"/>
    <xf numFmtId="0" fontId="14" fillId="0" borderId="0" pivotButton="0" quotePrefix="0" xfId="0"/>
    <xf numFmtId="0" fontId="5" fillId="0" borderId="22" pivotButton="0" quotePrefix="0" xfId="0"/>
    <xf numFmtId="0" fontId="5" fillId="0" borderId="23" pivotButton="0" quotePrefix="0" xfId="0"/>
    <xf numFmtId="2" fontId="5" fillId="0" borderId="16" pivotButton="0" quotePrefix="0" xfId="0"/>
    <xf numFmtId="0" fontId="5" fillId="0" borderId="24" pivotButton="0" quotePrefix="0" xfId="0"/>
    <xf numFmtId="0" fontId="5" fillId="0" borderId="25" pivotButton="0" quotePrefix="0" xfId="0"/>
    <xf numFmtId="0" fontId="5" fillId="0" borderId="26" pivotButton="0" quotePrefix="0" xfId="0"/>
    <xf numFmtId="0" fontId="18" fillId="4" borderId="19" applyAlignment="1" pivotButton="0" quotePrefix="0" xfId="0">
      <alignment horizontal="left" vertical="center" wrapText="1"/>
    </xf>
    <xf numFmtId="0" fontId="18" fillId="4" borderId="16" applyAlignment="1" pivotButton="0" quotePrefix="0" xfId="0">
      <alignment horizontal="left" vertical="center" wrapText="1"/>
    </xf>
    <xf numFmtId="0" fontId="19" fillId="4" borderId="27" applyAlignment="1" pivotButton="0" quotePrefix="0" xfId="0">
      <alignment horizontal="center"/>
    </xf>
    <xf numFmtId="0" fontId="19" fillId="4" borderId="28" applyAlignment="1" pivotButton="0" quotePrefix="0" xfId="0">
      <alignment horizontal="center"/>
    </xf>
    <xf numFmtId="0" fontId="5" fillId="0" borderId="2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3">
      <alignment horizontal="right"/>
    </xf>
    <xf numFmtId="2" fontId="5" fillId="0" borderId="0" applyAlignment="1" pivotButton="0" quotePrefix="0" xfId="0">
      <alignment horizontal="center"/>
    </xf>
    <xf numFmtId="2" fontId="5" fillId="0" borderId="14" pivotButton="0" quotePrefix="0" xfId="0"/>
    <xf numFmtId="0" fontId="0" fillId="0" borderId="21" pivotButton="0" quotePrefix="0" xfId="0"/>
    <xf numFmtId="0" fontId="0" fillId="0" borderId="14" pivotButton="0" quotePrefix="0" xfId="0"/>
    <xf numFmtId="0" fontId="14" fillId="0" borderId="0" applyAlignment="1" pivotButton="0" quotePrefix="0" xfId="0">
      <alignment horizontal="center"/>
    </xf>
    <xf numFmtId="0" fontId="0" fillId="0" borderId="24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25" pivotButton="0" quotePrefix="0" xfId="0"/>
    <xf numFmtId="0" fontId="4" fillId="0" borderId="25" applyAlignment="1" pivotButton="0" quotePrefix="0" xfId="0">
      <alignment horizontal="center"/>
    </xf>
    <xf numFmtId="1" fontId="5" fillId="0" borderId="25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2" fontId="5" fillId="0" borderId="25" applyAlignment="1" pivotButton="0" quotePrefix="0" xfId="1">
      <alignment horizontal="center"/>
    </xf>
    <xf numFmtId="10" fontId="5" fillId="0" borderId="25" pivotButton="0" quotePrefix="0" xfId="1"/>
    <xf numFmtId="0" fontId="0" fillId="0" borderId="26" pivotButton="0" quotePrefix="0" xfId="0"/>
    <xf numFmtId="10" fontId="0" fillId="0" borderId="0" pivotButton="0" quotePrefix="0" xfId="0"/>
    <xf numFmtId="2" fontId="5" fillId="0" borderId="0" pivotButton="0" quotePrefix="0" xfId="1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1">
      <alignment horizontal="center"/>
    </xf>
    <xf numFmtId="10" fontId="5" fillId="0" borderId="0" pivotButton="0" quotePrefix="0" xfId="1"/>
    <xf numFmtId="0" fontId="4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4" fontId="5" fillId="2" borderId="2" applyAlignment="1" pivotButton="0" quotePrefix="0" xfId="3">
      <alignment horizontal="center" vertical="center"/>
    </xf>
    <xf numFmtId="4" fontId="5" fillId="2" borderId="10" applyAlignment="1" pivotButton="0" quotePrefix="0" xfId="3">
      <alignment horizontal="center" vertical="center"/>
    </xf>
    <xf numFmtId="1" fontId="5" fillId="2" borderId="2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2" fontId="5" fillId="2" borderId="2" applyAlignment="1" pivotButton="0" quotePrefix="0" xfId="1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5" fillId="2" borderId="29" applyAlignment="1" pivotButton="0" quotePrefix="0" xfId="0">
      <alignment vertical="center"/>
    </xf>
    <xf numFmtId="166" fontId="5" fillId="2" borderId="29" applyAlignment="1" pivotButton="0" quotePrefix="0" xfId="0">
      <alignment vertical="center"/>
    </xf>
    <xf numFmtId="2" fontId="5" fillId="2" borderId="29" applyAlignment="1" pivotButton="0" quotePrefix="0" xfId="0">
      <alignment vertical="center"/>
    </xf>
    <xf numFmtId="2" fontId="5" fillId="2" borderId="30" applyAlignment="1" pivotButton="0" quotePrefix="0" xfId="0">
      <alignment vertical="center"/>
    </xf>
    <xf numFmtId="0" fontId="4" fillId="0" borderId="29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5" fillId="2" borderId="3" applyAlignment="1" pivotButton="0" quotePrefix="0" xfId="0">
      <alignment vertical="center"/>
    </xf>
    <xf numFmtId="0" fontId="10" fillId="0" borderId="5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9" fillId="4" borderId="27" applyAlignment="1" pivotButton="0" quotePrefix="0" xfId="0">
      <alignment horizontal="center" vertical="top"/>
    </xf>
    <xf numFmtId="0" fontId="10" fillId="0" borderId="5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10" fillId="0" borderId="31" applyAlignment="1" pivotButton="0" quotePrefix="0" xfId="0">
      <alignment horizontal="left" vertical="center" wrapText="1" indent="1"/>
    </xf>
    <xf numFmtId="0" fontId="19" fillId="4" borderId="44" applyAlignment="1" pivotButton="0" quotePrefix="0" xfId="0">
      <alignment horizontal="center" vertical="center" wrapText="1"/>
    </xf>
    <xf numFmtId="0" fontId="20" fillId="0" borderId="43" applyAlignment="1" pivotButton="0" quotePrefix="0" xfId="0">
      <alignment vertical="top" wrapText="1"/>
    </xf>
    <xf numFmtId="0" fontId="10" fillId="0" borderId="43" applyAlignment="1" pivotButton="0" quotePrefix="0" xfId="0">
      <alignment horizontal="center" vertical="center"/>
    </xf>
    <xf numFmtId="0" fontId="19" fillId="4" borderId="15" applyAlignment="1" pivotButton="0" quotePrefix="0" xfId="0">
      <alignment horizontal="left" vertical="center"/>
    </xf>
    <xf numFmtId="0" fontId="19" fillId="4" borderId="37" applyAlignment="1" pivotButton="0" quotePrefix="0" xfId="0">
      <alignment horizontal="left" vertical="center"/>
    </xf>
    <xf numFmtId="0" fontId="19" fillId="4" borderId="15" applyAlignment="1" pivotButton="0" quotePrefix="0" xfId="0">
      <alignment horizontal="left"/>
    </xf>
    <xf numFmtId="0" fontId="10" fillId="0" borderId="45" applyAlignment="1" pivotButton="0" quotePrefix="0" xfId="0">
      <alignment horizontal="left" vertical="center" wrapText="1"/>
    </xf>
    <xf numFmtId="0" fontId="19" fillId="4" borderId="15" applyAlignment="1" pivotButton="0" quotePrefix="0" xfId="0">
      <alignment horizontal="center"/>
    </xf>
    <xf numFmtId="0" fontId="19" fillId="4" borderId="46" applyAlignment="1" pivotButton="0" quotePrefix="0" xfId="0">
      <alignment horizontal="center"/>
    </xf>
    <xf numFmtId="0" fontId="10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4" fontId="10" fillId="2" borderId="4" applyAlignment="1" pivotButton="0" quotePrefix="0" xfId="0">
      <alignment horizontal="center" vertical="center"/>
    </xf>
    <xf numFmtId="0" fontId="10" fillId="2" borderId="43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 wrapText="1"/>
    </xf>
    <xf numFmtId="4" fontId="10" fillId="2" borderId="43" applyAlignment="1" pivotButton="0" quotePrefix="0" xfId="0">
      <alignment horizontal="center" vertical="center"/>
    </xf>
    <xf numFmtId="0" fontId="5" fillId="2" borderId="37" applyAlignment="1" pivotButton="0" quotePrefix="0" xfId="0">
      <alignment horizontal="left" vertical="center"/>
    </xf>
    <xf numFmtId="0" fontId="5" fillId="2" borderId="19" applyAlignment="1" pivotButton="0" quotePrefix="0" xfId="0">
      <alignment horizontal="left" vertical="center"/>
    </xf>
    <xf numFmtId="0" fontId="5" fillId="2" borderId="38" applyAlignment="1" pivotButton="0" quotePrefix="0" xfId="0">
      <alignment horizontal="left" vertical="center"/>
    </xf>
    <xf numFmtId="0" fontId="5" fillId="2" borderId="10" applyAlignment="1" pivotButton="0" quotePrefix="0" xfId="0">
      <alignment horizontal="left" vertical="center"/>
    </xf>
    <xf numFmtId="0" fontId="3" fillId="0" borderId="39" applyAlignment="1" pivotButton="0" quotePrefix="0" xfId="0">
      <alignment horizontal="center" vertical="center"/>
    </xf>
    <xf numFmtId="2" fontId="5" fillId="2" borderId="10" applyAlignment="1" pivotButton="0" quotePrefix="0" xfId="0">
      <alignment horizontal="left" vertical="center"/>
    </xf>
    <xf numFmtId="0" fontId="5" fillId="2" borderId="29" applyAlignment="1" pivotButton="0" quotePrefix="0" xfId="0">
      <alignment horizontal="left" vertical="center"/>
    </xf>
    <xf numFmtId="0" fontId="5" fillId="2" borderId="17" applyAlignment="1" pivotButton="0" quotePrefix="0" xfId="0">
      <alignment horizontal="left" vertical="center"/>
    </xf>
    <xf numFmtId="0" fontId="5" fillId="2" borderId="30" applyAlignment="1" pivotButton="0" quotePrefix="0" xfId="0">
      <alignment horizontal="left" vertical="center"/>
    </xf>
    <xf numFmtId="0" fontId="6" fillId="2" borderId="33" applyAlignment="1" pivotButton="0" quotePrefix="0" xfId="0">
      <alignment horizontal="center" vertical="center"/>
    </xf>
    <xf numFmtId="0" fontId="2" fillId="0" borderId="34" applyAlignment="1" applyProtection="1" pivotButton="0" quotePrefix="0" xfId="0">
      <alignment horizontal="justify" vertical="top" wrapText="1"/>
      <protection locked="0" hidden="0"/>
    </xf>
    <xf numFmtId="0" fontId="2" fillId="0" borderId="35" applyAlignment="1" applyProtection="1" pivotButton="0" quotePrefix="0" xfId="0">
      <alignment horizontal="justify" vertical="top" wrapText="1"/>
      <protection locked="0" hidden="0"/>
    </xf>
    <xf numFmtId="0" fontId="4" fillId="0" borderId="3" applyAlignment="1" pivotButton="0" quotePrefix="0" xfId="0">
      <alignment horizontal="left" vertical="center"/>
    </xf>
    <xf numFmtId="0" fontId="5" fillId="0" borderId="2" applyAlignment="1" applyProtection="1" pivotButton="0" quotePrefix="0" xfId="0">
      <alignment horizontal="left"/>
      <protection locked="0" hidden="0"/>
    </xf>
    <xf numFmtId="0" fontId="4" fillId="0" borderId="2" applyAlignment="1" pivotButton="0" quotePrefix="0" xfId="0">
      <alignment horizontal="left"/>
    </xf>
    <xf numFmtId="167" fontId="5" fillId="0" borderId="10" applyAlignment="1" applyProtection="1" pivotButton="0" quotePrefix="0" xfId="0">
      <alignment horizontal="center"/>
      <protection locked="0" hidden="0"/>
    </xf>
    <xf numFmtId="0" fontId="5" fillId="0" borderId="29" applyAlignment="1" applyProtection="1" pivotButton="0" quotePrefix="0" xfId="0">
      <alignment horizontal="left" vertical="center"/>
      <protection locked="0" hidden="0"/>
    </xf>
    <xf numFmtId="0" fontId="4" fillId="0" borderId="2" applyAlignment="1" pivotButton="0" quotePrefix="0" xfId="0">
      <alignment horizontal="left" vertical="center"/>
    </xf>
    <xf numFmtId="0" fontId="5" fillId="0" borderId="10" applyAlignment="1" applyProtection="1" pivotButton="0" quotePrefix="0" xfId="0">
      <alignment horizontal="left" vertical="center"/>
      <protection locked="0" hidden="0"/>
    </xf>
    <xf numFmtId="165" fontId="5" fillId="2" borderId="10" applyAlignment="1" pivotButton="0" quotePrefix="0" xfId="3">
      <alignment horizontal="right" indent="1"/>
    </xf>
    <xf numFmtId="0" fontId="3" fillId="0" borderId="36" applyAlignment="1" pivotButton="0" quotePrefix="0" xfId="0">
      <alignment horizontal="center" vertical="center"/>
    </xf>
    <xf numFmtId="0" fontId="4" fillId="0" borderId="29" applyAlignment="1" applyProtection="1" pivotButton="0" quotePrefix="0" xfId="0">
      <alignment horizontal="left" vertical="center"/>
      <protection locked="0" hidden="0"/>
    </xf>
    <xf numFmtId="2" fontId="13" fillId="0" borderId="2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2" fontId="13" fillId="0" borderId="1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18" fillId="4" borderId="40" applyAlignment="1" pivotButton="0" quotePrefix="0" xfId="0">
      <alignment horizontal="center" vertical="center" wrapText="1"/>
    </xf>
    <xf numFmtId="0" fontId="18" fillId="4" borderId="17" applyAlignment="1" pivotButton="0" quotePrefix="0" xfId="0">
      <alignment horizontal="center" vertical="center"/>
    </xf>
    <xf numFmtId="0" fontId="18" fillId="4" borderId="17" applyAlignment="1" pivotButton="0" quotePrefix="0" xfId="0">
      <alignment horizontal="center" vertical="center" wrapText="1"/>
    </xf>
    <xf numFmtId="0" fontId="18" fillId="4" borderId="41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left" vertical="center"/>
    </xf>
    <xf numFmtId="0" fontId="14" fillId="0" borderId="42" applyAlignment="1" pivotButton="0" quotePrefix="0" xfId="0">
      <alignment horizontal="center"/>
    </xf>
    <xf numFmtId="0" fontId="5" fillId="2" borderId="4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17" applyProtection="1" pivotButton="0" quotePrefix="0" xfId="0">
      <protection locked="0" hidden="0"/>
    </xf>
    <xf numFmtId="165" fontId="5" fillId="2" borderId="10" applyAlignment="1" pivotButton="0" quotePrefix="0" xfId="3">
      <alignment horizontal="right" indent="1"/>
    </xf>
    <xf numFmtId="0" fontId="0" fillId="0" borderId="41" pivotButton="0" quotePrefix="0" xfId="0"/>
    <xf numFmtId="0" fontId="0" fillId="0" borderId="30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67" fontId="5" fillId="0" borderId="1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2" borderId="2" applyAlignment="1" pivotButton="0" quotePrefix="0" xfId="0">
      <alignment horizontal="left" vertical="center"/>
    </xf>
    <xf numFmtId="0" fontId="5" fillId="2" borderId="15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38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6" pivotButton="0" quotePrefix="0" xfId="0"/>
    <xf numFmtId="0" fontId="0" fillId="0" borderId="58" pivotButton="0" quotePrefix="0" xfId="0"/>
    <xf numFmtId="164" fontId="5" fillId="0" borderId="2" applyAlignment="1" pivotButton="0" quotePrefix="0" xfId="0">
      <alignment horizontal="center" vertical="center"/>
    </xf>
    <xf numFmtId="165" fontId="5" fillId="0" borderId="0" applyAlignment="1" pivotButton="0" quotePrefix="0" xfId="3">
      <alignment horizontal="right"/>
    </xf>
    <xf numFmtId="0" fontId="0" fillId="0" borderId="60" pivotButton="0" quotePrefix="0" xfId="0"/>
    <xf numFmtId="0" fontId="0" fillId="0" borderId="42" pivotButton="0" quotePrefix="0" xfId="0"/>
    <xf numFmtId="0" fontId="0" fillId="0" borderId="61" pivotButton="0" quotePrefix="0" xfId="0"/>
    <xf numFmtId="0" fontId="0" fillId="0" borderId="62" pivotButton="0" quotePrefix="0" xfId="0"/>
    <xf numFmtId="164" fontId="5" fillId="0" borderId="0" pivotButton="0" quotePrefix="0" xfId="1"/>
    <xf numFmtId="164" fontId="5" fillId="0" borderId="14" pivotButton="0" quotePrefix="0" xfId="1"/>
    <xf numFmtId="164" fontId="5" fillId="2" borderId="2" applyAlignment="1" pivotButton="0" quotePrefix="0" xfId="0">
      <alignment horizontal="center" vertic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81">
    <dxf>
      <font>
        <i val="1"/>
        <condense val="0"/>
        <color indexed="17"/>
        <extend val="0"/>
      </font>
      <fill>
        <patternFill patternType="solid">
          <fgColor indexed="42"/>
          <bgColor indexed="2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</font>
      <fill>
        <patternFill patternType="solid">
          <fgColor indexed="42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b val="1"/>
        <condense val="0"/>
        <color indexed="10"/>
        <extend val="0"/>
      </font>
      <fill>
        <patternFill patternType="solid">
          <fgColor indexed="41"/>
          <bgColor indexed="4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2"/>
          <bgColor indexed="47"/>
        </patternFill>
      </fill>
    </dxf>
    <dxf>
      <font>
        <i val="1"/>
        <condense val="0"/>
        <color indexed="17"/>
        <extend val="0"/>
        <sz val="10"/>
      </font>
      <fill>
        <patternFill patternType="solid">
          <fgColor indexed="41"/>
          <bgColor indexed="27"/>
        </patternFill>
      </fill>
    </dxf>
    <dxf>
      <font>
        <condense val="0"/>
        <color indexed="53"/>
        <extend val="0"/>
        <sz val="10"/>
      </font>
      <fill>
        <patternFill patternType="solid">
          <fgColor indexed="26"/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1" i="0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 por Tipo de Função</a:t>
            </a:r>
          </a:p>
        </rich>
      </tx>
      <layout>
        <manualLayout>
          <xMode val="edge"/>
          <yMode val="edge"/>
          <wMode val="factor"/>
          <hMode val="factor"/>
          <x val="0.252747863963813"/>
          <y val="0.773437473541613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3186824586569177"/>
          <y val="0.125"/>
          <w val="0.2747262574628601"/>
          <h val="0.59375"/>
        </manualLayout>
      </layout>
      <pie3D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3175">
              <a:solidFill>
                <a:srgbClr val="333333"/>
              </a:solidFill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3175">
                <a:solidFill>
                  <a:srgbClr val="333333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3175">
                <a:solidFill>
                  <a:srgbClr val="333333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3175">
                <a:solidFill>
                  <a:srgbClr val="333333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3175">
                <a:solidFill>
                  <a:srgbClr val="333333"/>
                </a:solidFill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('Sumário 1'!$B$10,'Sumário 1'!$B$17,'Sumário 1'!$B$24,'Sumário 1'!$B$31,'Sumário 1'!$B$38)</f>
              <strCache>
                <ptCount val="5"/>
                <pt idx="0">
                  <v>EE</v>
                </pt>
                <pt idx="1">
                  <v>SE</v>
                </pt>
                <pt idx="2">
                  <v>CE</v>
                </pt>
                <pt idx="3">
                  <v>ALI</v>
                </pt>
                <pt idx="4">
                  <v>AIE</v>
                </pt>
              </strCache>
            </strRef>
          </cat>
          <val>
            <numRef>
              <f>('Sumário 1'!$H$14,'Sumário 1'!$H$21,'Sumário 1'!$H$28,'Sumário 1'!$H$35,'Sumário 1'!$H$42)</f>
              <numCache>
                <formatCode>0.0%</formatCode>
                <ptCount val="5"/>
                <pt idx="0">
                  <v>0.75</v>
                </pt>
                <pt idx="1">
                  <v>0</v>
                </pt>
                <pt idx="2">
                  <v>0.25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938042004092107"/>
          <y val="0.2578223761228952"/>
          <w val="0.07692577134669437"/>
          <h val="0.5781471464574013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333333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350" b="0" i="0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Q4" authorId="0" shapeId="0">
      <text>
        <t>Ponto de Função IFPUG: medição baseada nas regras do IFPUG. Não considerada os deflatores nem os itens não mensuráveis. Caso a funcionalidade não tenha sido detalhada, será considerada a estimativa da NESMA.</t>
      </text>
    </comment>
    <comment ref="Q5" authorId="0" shapeId="0">
      <text>
        <t>Ponto de Função Local do EM: medição para remuneração do Escritório de Métricas.Equivalente à medição IFPUG. Porém, considera os itens não mensuráveis previstos em contrato.</t>
      </text>
    </comment>
    <comment ref="Q6" authorId="0" shapeId="0">
      <text>
        <t>Ponto de Função Local da FS: medição para remuneração da Fábrica de Software. Equivalente à medição IFPUG. Porém, considera os deflatores e os itens não mensuráveis previstos em contrato.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K4" authorId="0" shapeId="0">
      <text>
        <t xml:space="preserve">Ponto de Função IFPUG:
Medição baseada nas regras do IFPUG. Não considerada os deflatores nem os itens não mensuráveis. Caso a funcionalidade não tenha sido detalhada, será considerada a estimativa da NESMA.
</t>
      </text>
    </comment>
    <comment ref="K5" authorId="0" shapeId="0">
      <text>
        <t>Ponto de Função Local do EM:
Medição para remuneração do Escritório de Métricas. Equivalente à medição IFPUG. Porém, considera os itens não mensuráveis previstos em contrato.</t>
      </text>
    </comment>
    <comment ref="K6" authorId="0" shapeId="0">
      <text>
        <t xml:space="preserve">Ponto de Função Local da FS:
Medição para remuneração da Fábrica de Software. Equivalente à medição IFPUG. Porém, considera os deflatores e os itens não mensuráveis previstos em contrato.
</t>
      </text>
    </comment>
    <comment ref="A7" authorId="0" shapeId="0">
      <text>
        <t>Nome da Função:
O processo é a menor unidade de atividade significativa para o usuário?
É auto-contido e deixa o negócio da aplicação em um estado consistente?</t>
      </text>
    </comment>
    <comment ref="B7" authorId="0" shapeId="0">
      <text>
        <t>Tipo de Função: 
ALI, AIE, EE, SE, CE
ou
Itens não mensuráveis</t>
      </text>
    </comment>
    <comment ref="C7" authorId="0" shapeId="0">
      <text>
        <t xml:space="preserve">Tipo de Manutenção na função:
I, A, E 
ou
Itens não mensuráveis
</t>
      </text>
    </comment>
    <comment ref="D7" authorId="0" shapeId="0">
      <text>
        <t xml:space="preserve">Tipos de Dados (DETs)
</t>
      </text>
    </comment>
    <comment ref="E7" authorId="0" shapeId="0">
      <text>
        <t xml:space="preserve">Arquivos Referenciados / Tipos de Registro
</t>
      </text>
    </comment>
    <comment ref="F7" authorId="0" shapeId="0">
      <text>
        <t xml:space="preserve">Grau de complexidade específico atribuído a uma função.
</t>
      </text>
    </comment>
    <comment ref="M7" authorId="0" shapeId="0">
      <text>
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</text>
    </comment>
    <comment ref="N7" authorId="0" shapeId="0">
      <text>
        <t xml:space="preserve">Referência ao documento que justifica a contagem da funcionalidade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6" authorId="0" shapeId="0">
      <text>
        <t xml:space="preserve">Técnica de estimativa do tamanho desenvolvida pela NESMA. Assume que os arquivos lógicos são de complexidade baixa e as transações são de complexidade média. 
</t>
      </text>
    </comment>
    <comment ref="B47" authorId="0" shapeId="0">
      <text>
        <t xml:space="preserve">Técnica de estimativa do tamanho desenvolvida pela NESMA. É baseada apenas nos arquivos lógicos. Assume que cada ALI tem um peso de 35 PF e cada AIE um peso de 15 PF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H9" authorId="0" shapeId="0">
      <text>
        <t xml:space="preserve">Contribuição fixa em PF independentemente do tipo da funcionalidade
</t>
      </text>
    </comment>
    <comment ref="H46" authorId="0" shapeId="0">
      <text>
        <t xml:space="preserve">Contribuição fixa em PF para o item não funcional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19050</colOff>
      <row>43</row>
      <rowOff>28575</rowOff>
    </from>
    <to>
      <col>11</col>
      <colOff>342900</colOff>
      <row>50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V46"/>
  <sheetViews>
    <sheetView showGridLines="0" view="pageBreakPreview" zoomScaleSheetLayoutView="100" workbookViewId="0">
      <pane ySplit="3" topLeftCell="A4" activePane="bottomLeft" state="frozen"/>
      <selection activeCell="B11" sqref="B11"/>
      <selection pane="bottomLeft" activeCell="A21" sqref="A21:V21"/>
    </sheetView>
  </sheetViews>
  <sheetFormatPr baseColWidth="8" defaultColWidth="8.88671875" defaultRowHeight="13.8"/>
  <cols>
    <col width="10.44140625" customWidth="1" style="1" min="1" max="1"/>
    <col width="2.6640625" customWidth="1" style="1" min="2" max="2"/>
    <col width="8.44140625" customWidth="1" style="1" min="3" max="3"/>
    <col width="4.44140625" customWidth="1" style="1" min="4" max="4"/>
    <col width="4" customWidth="1" style="1" min="5" max="5"/>
    <col width="4.44140625" customWidth="1" style="1" min="6" max="6"/>
    <col width="6" customWidth="1" style="1" min="7" max="12"/>
    <col width="18.44140625" customWidth="1" style="1" min="13" max="13"/>
    <col width="8.33203125" customWidth="1" style="1" min="14" max="14"/>
    <col width="11.44140625" customWidth="1" style="1" min="15" max="15"/>
    <col width="5.88671875" customWidth="1" style="1" min="16" max="16"/>
    <col width="2.6640625" customWidth="1" style="1" min="17" max="18"/>
    <col width="8" customWidth="1" style="1" min="19" max="19"/>
    <col width="2.6640625" customWidth="1" style="1" min="20" max="22"/>
  </cols>
  <sheetData>
    <row r="1" ht="13.2" customHeight="1">
      <c r="A1" s="156" t="inlineStr">
        <is>
          <t>Identificação da Contagem</t>
        </is>
      </c>
      <c r="B1" s="178" t="n"/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8" t="n"/>
      <c r="N1" s="178" t="n"/>
      <c r="O1" s="178" t="n"/>
      <c r="P1" s="178" t="n"/>
      <c r="Q1" s="178" t="n"/>
      <c r="R1" s="178" t="n"/>
      <c r="S1" s="178" t="n"/>
      <c r="T1" s="178" t="n"/>
      <c r="U1" s="178" t="n"/>
      <c r="V1" s="179" t="n"/>
    </row>
    <row r="2" ht="13.2" customHeight="1">
      <c r="A2" s="75" t="n"/>
      <c r="V2" s="76" t="n"/>
    </row>
    <row r="3" ht="13.2" customHeight="1">
      <c r="A3" s="180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181" t="n"/>
    </row>
    <row r="4">
      <c r="A4" s="148" t="inlineStr">
        <is>
          <t>Empresa</t>
        </is>
      </c>
      <c r="B4" s="44" t="n"/>
      <c r="C4" s="44" t="n"/>
      <c r="D4" s="44" t="n"/>
      <c r="E4" s="182" t="n"/>
      <c r="F4" s="152" t="inlineStr">
        <is>
          <t>Websis</t>
        </is>
      </c>
      <c r="G4" s="183" t="n"/>
      <c r="H4" s="183" t="n"/>
      <c r="I4" s="183" t="n"/>
      <c r="J4" s="183" t="n"/>
      <c r="K4" s="183" t="n"/>
      <c r="L4" s="183" t="n"/>
      <c r="M4" s="183" t="n"/>
      <c r="N4" s="183" t="n"/>
      <c r="O4" s="157" t="inlineStr">
        <is>
          <t>PF IFPUG</t>
        </is>
      </c>
      <c r="P4" s="183" t="n"/>
      <c r="Q4" s="184">
        <f>Funções!L4</f>
        <v/>
      </c>
      <c r="R4" s="44" t="n"/>
      <c r="S4" s="44" t="n"/>
      <c r="T4" s="44" t="n"/>
      <c r="U4" s="44" t="n"/>
      <c r="V4" s="185" t="n"/>
    </row>
    <row r="5">
      <c r="A5" s="148" t="inlineStr">
        <is>
          <t>Aplicação</t>
        </is>
      </c>
      <c r="B5" s="44" t="n"/>
      <c r="C5" s="44" t="n"/>
      <c r="D5" s="44" t="n"/>
      <c r="E5" s="182" t="n"/>
      <c r="F5" s="152">
        <f>A17</f>
        <v/>
      </c>
      <c r="G5" s="183" t="n"/>
      <c r="H5" s="183" t="n"/>
      <c r="I5" s="183" t="n"/>
      <c r="J5" s="183" t="n"/>
      <c r="K5" s="183" t="n"/>
      <c r="L5" s="183" t="n"/>
      <c r="M5" s="183" t="n"/>
      <c r="N5" s="183" t="n"/>
      <c r="O5" s="153" t="inlineStr">
        <is>
          <t>PF Local do EM</t>
        </is>
      </c>
      <c r="P5" s="182" t="n"/>
      <c r="Q5" s="184">
        <f>Funções!L5</f>
        <v/>
      </c>
      <c r="R5" s="44" t="n"/>
      <c r="S5" s="44" t="n"/>
      <c r="T5" s="44" t="n"/>
      <c r="U5" s="44" t="n"/>
      <c r="V5" s="185" t="n"/>
    </row>
    <row r="6">
      <c r="A6" s="148" t="inlineStr">
        <is>
          <t>Tipo de Contagem</t>
        </is>
      </c>
      <c r="B6" s="44" t="n"/>
      <c r="C6" s="44" t="n"/>
      <c r="D6" s="44" t="n"/>
      <c r="E6" s="182" t="n"/>
      <c r="F6" s="149" t="n"/>
      <c r="G6" s="183" t="n"/>
      <c r="H6" s="183" t="n"/>
      <c r="I6" s="183" t="n"/>
      <c r="J6" s="183" t="n"/>
      <c r="K6" s="183" t="n"/>
      <c r="L6" s="183" t="n"/>
      <c r="M6" s="183" t="n"/>
      <c r="N6" s="186" t="n"/>
      <c r="O6" s="153" t="inlineStr">
        <is>
          <t>PF Local da FS</t>
        </is>
      </c>
      <c r="P6" s="182" t="n"/>
      <c r="Q6" s="184">
        <f>Funções!L6</f>
        <v/>
      </c>
      <c r="R6" s="44" t="n"/>
      <c r="S6" s="44" t="n"/>
      <c r="T6" s="44" t="n"/>
      <c r="U6" s="44" t="n"/>
      <c r="V6" s="185" t="n"/>
    </row>
    <row r="7" ht="13.2" customHeight="1">
      <c r="A7" s="148" t="inlineStr">
        <is>
          <t>Nível de Detalhe</t>
        </is>
      </c>
      <c r="B7" s="44" t="n"/>
      <c r="C7" s="44" t="n"/>
      <c r="D7" s="44" t="n"/>
      <c r="E7" s="182" t="n"/>
      <c r="F7" s="152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53" t="inlineStr">
        <is>
          <t>Tecnologia</t>
        </is>
      </c>
      <c r="P7" s="44" t="n"/>
      <c r="Q7" s="182" t="n"/>
      <c r="R7" s="154" t="n"/>
      <c r="S7" s="183" t="n"/>
      <c r="T7" s="183" t="n"/>
      <c r="U7" s="183" t="n"/>
      <c r="V7" s="187" t="n"/>
    </row>
    <row r="8" ht="13.2" customHeight="1">
      <c r="A8" s="148" t="inlineStr">
        <is>
          <t>Projeto</t>
        </is>
      </c>
      <c r="B8" s="44" t="n"/>
      <c r="C8" s="44" t="n"/>
      <c r="D8" s="44" t="n"/>
      <c r="E8" s="182" t="n"/>
      <c r="F8" s="152" t="inlineStr">
        <is>
          <t>SENAT</t>
        </is>
      </c>
      <c r="G8" s="183" t="n"/>
      <c r="H8" s="183" t="n"/>
      <c r="I8" s="183" t="n"/>
      <c r="J8" s="183" t="n"/>
      <c r="K8" s="183" t="n"/>
      <c r="L8" s="183" t="n"/>
      <c r="M8" s="183" t="n"/>
      <c r="N8" s="183" t="n"/>
      <c r="O8" s="153" t="inlineStr">
        <is>
          <t>Versão do Guia</t>
        </is>
      </c>
      <c r="P8" s="44" t="n"/>
      <c r="Q8" s="182" t="n"/>
      <c r="R8" s="154" t="n"/>
      <c r="S8" s="183" t="n"/>
      <c r="T8" s="183" t="n"/>
      <c r="U8" s="183" t="n"/>
      <c r="V8" s="187" t="n"/>
    </row>
    <row r="9">
      <c r="A9" s="148" t="inlineStr">
        <is>
          <t>Responsável</t>
        </is>
      </c>
      <c r="B9" s="44" t="n"/>
      <c r="C9" s="44" t="n"/>
      <c r="D9" s="44" t="n"/>
      <c r="E9" s="182" t="n"/>
      <c r="F9" s="149" t="n"/>
      <c r="G9" s="183" t="n"/>
      <c r="H9" s="183" t="n"/>
      <c r="I9" s="183" t="n"/>
      <c r="J9" s="183" t="n"/>
      <c r="K9" s="183" t="n"/>
      <c r="L9" s="183" t="n"/>
      <c r="M9" s="183" t="n"/>
      <c r="N9" s="186" t="n"/>
      <c r="O9" s="150" t="inlineStr">
        <is>
          <t>Criação</t>
        </is>
      </c>
      <c r="P9" s="44" t="n"/>
      <c r="Q9" s="182" t="n"/>
      <c r="R9" s="188" t="n"/>
      <c r="S9" s="183" t="n"/>
      <c r="T9" s="183" t="n"/>
      <c r="U9" s="183" t="n"/>
      <c r="V9" s="187" t="n"/>
    </row>
    <row r="10">
      <c r="A10" s="148" t="inlineStr">
        <is>
          <t>Revisor</t>
        </is>
      </c>
      <c r="B10" s="44" t="n"/>
      <c r="C10" s="44" t="n"/>
      <c r="D10" s="44" t="n"/>
      <c r="E10" s="182" t="n"/>
      <c r="F10" s="149" t="n"/>
      <c r="G10" s="183" t="n"/>
      <c r="H10" s="183" t="n"/>
      <c r="I10" s="183" t="n"/>
      <c r="J10" s="183" t="n"/>
      <c r="K10" s="183" t="n"/>
      <c r="L10" s="183" t="n"/>
      <c r="M10" s="183" t="n"/>
      <c r="N10" s="186" t="n"/>
      <c r="O10" s="150" t="inlineStr">
        <is>
          <t>Revisão</t>
        </is>
      </c>
      <c r="P10" s="44" t="n"/>
      <c r="Q10" s="182" t="n"/>
      <c r="R10" s="188" t="n"/>
      <c r="S10" s="183" t="n"/>
      <c r="T10" s="183" t="n"/>
      <c r="U10" s="183" t="n"/>
      <c r="V10" s="187" t="n"/>
    </row>
    <row r="11">
      <c r="A11" s="145" t="inlineStr">
        <is>
          <t>Propósito da Contagem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185" t="n"/>
    </row>
    <row r="12" ht="13.2" customHeight="1">
      <c r="A12" s="146" t="inlineStr">
        <is>
          <t>Estimar o tamanho funcional do projeto conforme NESMA e INMs contratuais.</t>
        </is>
      </c>
      <c r="B12" s="189" t="n"/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9" t="n"/>
      <c r="R12" s="189" t="n"/>
      <c r="S12" s="189" t="n"/>
      <c r="T12" s="189" t="n"/>
      <c r="U12" s="189" t="n"/>
      <c r="V12" s="190" t="n"/>
    </row>
    <row r="13" ht="13.2" customHeight="1">
      <c r="A13" s="191" t="n"/>
      <c r="B13" s="189" t="n"/>
      <c r="C13" s="189" t="n"/>
      <c r="D13" s="189" t="n"/>
      <c r="E13" s="189" t="n"/>
      <c r="F13" s="189" t="n"/>
      <c r="G13" s="189" t="n"/>
      <c r="H13" s="189" t="n"/>
      <c r="I13" s="189" t="n"/>
      <c r="J13" s="189" t="n"/>
      <c r="K13" s="189" t="n"/>
      <c r="L13" s="189" t="n"/>
      <c r="M13" s="189" t="n"/>
      <c r="N13" s="189" t="n"/>
      <c r="O13" s="189" t="n"/>
      <c r="P13" s="189" t="n"/>
      <c r="Q13" s="189" t="n"/>
      <c r="R13" s="189" t="n"/>
      <c r="S13" s="189" t="n"/>
      <c r="T13" s="189" t="n"/>
      <c r="U13" s="189" t="n"/>
      <c r="V13" s="190" t="n"/>
    </row>
    <row r="14" ht="13.2" customHeight="1">
      <c r="A14" s="191" t="n"/>
      <c r="B14" s="189" t="n"/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  <c r="N14" s="189" t="n"/>
      <c r="O14" s="189" t="n"/>
      <c r="P14" s="189" t="n"/>
      <c r="Q14" s="189" t="n"/>
      <c r="R14" s="189" t="n"/>
      <c r="S14" s="189" t="n"/>
      <c r="T14" s="189" t="n"/>
      <c r="U14" s="189" t="n"/>
      <c r="V14" s="190" t="n"/>
    </row>
    <row r="15" ht="13.2" customHeight="1">
      <c r="A15" s="192" t="n"/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  <c r="L15" s="193" t="n"/>
      <c r="M15" s="193" t="n"/>
      <c r="N15" s="193" t="n"/>
      <c r="O15" s="193" t="n"/>
      <c r="P15" s="193" t="n"/>
      <c r="Q15" s="193" t="n"/>
      <c r="R15" s="193" t="n"/>
      <c r="S15" s="193" t="n"/>
      <c r="T15" s="193" t="n"/>
      <c r="U15" s="193" t="n"/>
      <c r="V15" s="194" t="n"/>
    </row>
    <row r="16">
      <c r="A16" s="145" t="inlineStr">
        <is>
          <t>Escopo da Contagem</t>
        </is>
      </c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185" t="n"/>
    </row>
    <row r="17" ht="13.2" customHeight="1">
      <c r="A17" s="146" t="n"/>
      <c r="B17" s="189" t="n"/>
      <c r="C17" s="189" t="n"/>
      <c r="D17" s="189" t="n"/>
      <c r="E17" s="189" t="n"/>
      <c r="F17" s="189" t="n"/>
      <c r="G17" s="189" t="n"/>
      <c r="H17" s="189" t="n"/>
      <c r="I17" s="189" t="n"/>
      <c r="J17" s="189" t="n"/>
      <c r="K17" s="189" t="n"/>
      <c r="L17" s="189" t="n"/>
      <c r="M17" s="189" t="n"/>
      <c r="N17" s="189" t="n"/>
      <c r="O17" s="189" t="n"/>
      <c r="P17" s="189" t="n"/>
      <c r="Q17" s="189" t="n"/>
      <c r="R17" s="189" t="n"/>
      <c r="S17" s="189" t="n"/>
      <c r="T17" s="189" t="n"/>
      <c r="U17" s="189" t="n"/>
      <c r="V17" s="190" t="n"/>
    </row>
    <row r="18" ht="13.2" customHeight="1">
      <c r="A18" s="191" t="n"/>
      <c r="B18" s="189" t="n"/>
      <c r="C18" s="189" t="n"/>
      <c r="D18" s="189" t="n"/>
      <c r="E18" s="189" t="n"/>
      <c r="F18" s="189" t="n"/>
      <c r="G18" s="189" t="n"/>
      <c r="H18" s="189" t="n"/>
      <c r="I18" s="189" t="n"/>
      <c r="J18" s="189" t="n"/>
      <c r="K18" s="189" t="n"/>
      <c r="L18" s="189" t="n"/>
      <c r="M18" s="189" t="n"/>
      <c r="N18" s="189" t="n"/>
      <c r="O18" s="189" t="n"/>
      <c r="P18" s="189" t="n"/>
      <c r="Q18" s="189" t="n"/>
      <c r="R18" s="189" t="n"/>
      <c r="S18" s="189" t="n"/>
      <c r="T18" s="189" t="n"/>
      <c r="U18" s="189" t="n"/>
      <c r="V18" s="190" t="n"/>
    </row>
    <row r="19" ht="13.2" customHeight="1">
      <c r="A19" s="191" t="n"/>
      <c r="B19" s="189" t="n"/>
      <c r="C19" s="189" t="n"/>
      <c r="D19" s="189" t="n"/>
      <c r="E19" s="189" t="n"/>
      <c r="F19" s="189" t="n"/>
      <c r="G19" s="189" t="n"/>
      <c r="H19" s="189" t="n"/>
      <c r="I19" s="189" t="n"/>
      <c r="J19" s="189" t="n"/>
      <c r="K19" s="189" t="n"/>
      <c r="L19" s="189" t="n"/>
      <c r="M19" s="189" t="n"/>
      <c r="N19" s="189" t="n"/>
      <c r="O19" s="189" t="n"/>
      <c r="P19" s="189" t="n"/>
      <c r="Q19" s="189" t="n"/>
      <c r="R19" s="189" t="n"/>
      <c r="S19" s="189" t="n"/>
      <c r="T19" s="189" t="n"/>
      <c r="U19" s="189" t="n"/>
      <c r="V19" s="190" t="n"/>
    </row>
    <row r="20" ht="13.2" customHeight="1">
      <c r="A20" s="192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J20" s="193" t="n"/>
      <c r="K20" s="193" t="n"/>
      <c r="L20" s="193" t="n"/>
      <c r="M20" s="193" t="n"/>
      <c r="N20" s="193" t="n"/>
      <c r="O20" s="193" t="n"/>
      <c r="P20" s="193" t="n"/>
      <c r="Q20" s="193" t="n"/>
      <c r="R20" s="193" t="n"/>
      <c r="S20" s="193" t="n"/>
      <c r="T20" s="193" t="n"/>
      <c r="U20" s="193" t="n"/>
      <c r="V20" s="194" t="n"/>
    </row>
    <row r="21">
      <c r="A21" s="145" t="inlineStr">
        <is>
          <t>Documentação Utilizada na Análise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185" t="n"/>
    </row>
    <row r="22" ht="13.2" customHeight="1">
      <c r="A22" s="147" t="n"/>
      <c r="B22" s="195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6" t="n"/>
    </row>
    <row r="23" ht="13.2" customHeight="1">
      <c r="A23" s="191" t="n"/>
      <c r="B23" s="189" t="n"/>
      <c r="C23" s="189" t="n"/>
      <c r="D23" s="189" t="n"/>
      <c r="E23" s="189" t="n"/>
      <c r="F23" s="189" t="n"/>
      <c r="G23" s="189" t="n"/>
      <c r="H23" s="189" t="n"/>
      <c r="I23" s="189" t="n"/>
      <c r="J23" s="189" t="n"/>
      <c r="K23" s="189" t="n"/>
      <c r="L23" s="189" t="n"/>
      <c r="M23" s="189" t="n"/>
      <c r="N23" s="189" t="n"/>
      <c r="O23" s="189" t="n"/>
      <c r="P23" s="189" t="n"/>
      <c r="Q23" s="189" t="n"/>
      <c r="R23" s="189" t="n"/>
      <c r="S23" s="189" t="n"/>
      <c r="T23" s="189" t="n"/>
      <c r="U23" s="189" t="n"/>
      <c r="V23" s="190" t="n"/>
    </row>
    <row r="24" ht="13.2" customHeight="1">
      <c r="A24" s="191" t="n"/>
      <c r="B24" s="189" t="n"/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 t="n"/>
      <c r="P24" s="189" t="n"/>
      <c r="Q24" s="189" t="n"/>
      <c r="R24" s="189" t="n"/>
      <c r="S24" s="189" t="n"/>
      <c r="T24" s="189" t="n"/>
      <c r="U24" s="189" t="n"/>
      <c r="V24" s="190" t="n"/>
    </row>
    <row r="25" ht="13.2" customHeight="1">
      <c r="A25" s="191" t="n"/>
      <c r="B25" s="189" t="n"/>
      <c r="C25" s="189" t="n"/>
      <c r="D25" s="189" t="n"/>
      <c r="E25" s="189" t="n"/>
      <c r="F25" s="189" t="n"/>
      <c r="G25" s="189" t="n"/>
      <c r="H25" s="189" t="n"/>
      <c r="I25" s="189" t="n"/>
      <c r="J25" s="189" t="n"/>
      <c r="K25" s="189" t="n"/>
      <c r="L25" s="189" t="n"/>
      <c r="M25" s="189" t="n"/>
      <c r="N25" s="189" t="n"/>
      <c r="O25" s="189" t="n"/>
      <c r="P25" s="189" t="n"/>
      <c r="Q25" s="189" t="n"/>
      <c r="R25" s="189" t="n"/>
      <c r="S25" s="189" t="n"/>
      <c r="T25" s="189" t="n"/>
      <c r="U25" s="189" t="n"/>
      <c r="V25" s="190" t="n"/>
    </row>
    <row r="26" ht="13.2" customHeight="1">
      <c r="A26" s="191" t="n"/>
      <c r="B26" s="189" t="n"/>
      <c r="C26" s="189" t="n"/>
      <c r="D26" s="189" t="n"/>
      <c r="E26" s="189" t="n"/>
      <c r="F26" s="189" t="n"/>
      <c r="G26" s="189" t="n"/>
      <c r="H26" s="189" t="n"/>
      <c r="I26" s="189" t="n"/>
      <c r="J26" s="189" t="n"/>
      <c r="K26" s="189" t="n"/>
      <c r="L26" s="189" t="n"/>
      <c r="M26" s="189" t="n"/>
      <c r="N26" s="189" t="n"/>
      <c r="O26" s="189" t="n"/>
      <c r="P26" s="189" t="n"/>
      <c r="Q26" s="189" t="n"/>
      <c r="R26" s="189" t="n"/>
      <c r="S26" s="189" t="n"/>
      <c r="T26" s="189" t="n"/>
      <c r="U26" s="189" t="n"/>
      <c r="V26" s="190" t="n"/>
    </row>
    <row r="27" ht="13.2" customHeight="1">
      <c r="A27" s="191" t="n"/>
      <c r="B27" s="189" t="n"/>
      <c r="C27" s="189" t="n"/>
      <c r="D27" s="189" t="n"/>
      <c r="E27" s="189" t="n"/>
      <c r="F27" s="189" t="n"/>
      <c r="G27" s="189" t="n"/>
      <c r="H27" s="189" t="n"/>
      <c r="I27" s="189" t="n"/>
      <c r="J27" s="189" t="n"/>
      <c r="K27" s="189" t="n"/>
      <c r="L27" s="189" t="n"/>
      <c r="M27" s="189" t="n"/>
      <c r="N27" s="189" t="n"/>
      <c r="O27" s="189" t="n"/>
      <c r="P27" s="189" t="n"/>
      <c r="Q27" s="189" t="n"/>
      <c r="R27" s="189" t="n"/>
      <c r="S27" s="189" t="n"/>
      <c r="T27" s="189" t="n"/>
      <c r="U27" s="189" t="n"/>
      <c r="V27" s="190" t="n"/>
    </row>
    <row r="28" ht="13.2" customHeight="1">
      <c r="A28" s="191" t="n"/>
      <c r="B28" s="189" t="n"/>
      <c r="C28" s="189" t="n"/>
      <c r="D28" s="189" t="n"/>
      <c r="E28" s="189" t="n"/>
      <c r="F28" s="189" t="n"/>
      <c r="G28" s="189" t="n"/>
      <c r="H28" s="189" t="n"/>
      <c r="I28" s="189" t="n"/>
      <c r="J28" s="189" t="n"/>
      <c r="K28" s="189" t="n"/>
      <c r="L28" s="189" t="n"/>
      <c r="M28" s="189" t="n"/>
      <c r="N28" s="189" t="n"/>
      <c r="O28" s="189" t="n"/>
      <c r="P28" s="189" t="n"/>
      <c r="Q28" s="189" t="n"/>
      <c r="R28" s="189" t="n"/>
      <c r="S28" s="189" t="n"/>
      <c r="T28" s="189" t="n"/>
      <c r="U28" s="189" t="n"/>
      <c r="V28" s="190" t="n"/>
    </row>
    <row r="29" ht="13.2" customHeight="1">
      <c r="A29" s="191" t="n"/>
      <c r="B29" s="189" t="n"/>
      <c r="C29" s="189" t="n"/>
      <c r="D29" s="189" t="n"/>
      <c r="E29" s="189" t="n"/>
      <c r="F29" s="189" t="n"/>
      <c r="G29" s="189" t="n"/>
      <c r="H29" s="189" t="n"/>
      <c r="I29" s="189" t="n"/>
      <c r="J29" s="189" t="n"/>
      <c r="K29" s="189" t="n"/>
      <c r="L29" s="189" t="n"/>
      <c r="M29" s="189" t="n"/>
      <c r="N29" s="189" t="n"/>
      <c r="O29" s="189" t="n"/>
      <c r="P29" s="189" t="n"/>
      <c r="Q29" s="189" t="n"/>
      <c r="R29" s="189" t="n"/>
      <c r="S29" s="189" t="n"/>
      <c r="T29" s="189" t="n"/>
      <c r="U29" s="189" t="n"/>
      <c r="V29" s="190" t="n"/>
    </row>
    <row r="30" ht="13.2" customHeight="1">
      <c r="A30" s="191" t="n"/>
      <c r="B30" s="189" t="n"/>
      <c r="C30" s="189" t="n"/>
      <c r="D30" s="189" t="n"/>
      <c r="E30" s="189" t="n"/>
      <c r="F30" s="189" t="n"/>
      <c r="G30" s="189" t="n"/>
      <c r="H30" s="189" t="n"/>
      <c r="I30" s="189" t="n"/>
      <c r="J30" s="189" t="n"/>
      <c r="K30" s="189" t="n"/>
      <c r="L30" s="189" t="n"/>
      <c r="M30" s="189" t="n"/>
      <c r="N30" s="189" t="n"/>
      <c r="O30" s="189" t="n"/>
      <c r="P30" s="189" t="n"/>
      <c r="Q30" s="189" t="n"/>
      <c r="R30" s="189" t="n"/>
      <c r="S30" s="189" t="n"/>
      <c r="T30" s="189" t="n"/>
      <c r="U30" s="189" t="n"/>
      <c r="V30" s="190" t="n"/>
    </row>
    <row r="31" ht="13.2" customHeight="1">
      <c r="A31" s="191" t="n"/>
      <c r="B31" s="189" t="n"/>
      <c r="C31" s="189" t="n"/>
      <c r="D31" s="189" t="n"/>
      <c r="E31" s="189" t="n"/>
      <c r="F31" s="189" t="n"/>
      <c r="G31" s="189" t="n"/>
      <c r="H31" s="189" t="n"/>
      <c r="I31" s="189" t="n"/>
      <c r="J31" s="189" t="n"/>
      <c r="K31" s="189" t="n"/>
      <c r="L31" s="189" t="n"/>
      <c r="M31" s="189" t="n"/>
      <c r="N31" s="189" t="n"/>
      <c r="O31" s="189" t="n"/>
      <c r="P31" s="189" t="n"/>
      <c r="Q31" s="189" t="n"/>
      <c r="R31" s="189" t="n"/>
      <c r="S31" s="189" t="n"/>
      <c r="T31" s="189" t="n"/>
      <c r="U31" s="189" t="n"/>
      <c r="V31" s="190" t="n"/>
    </row>
    <row r="32" ht="13.2" customHeight="1">
      <c r="A32" s="191" t="n"/>
      <c r="B32" s="189" t="n"/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9" t="n"/>
      <c r="R32" s="189" t="n"/>
      <c r="S32" s="189" t="n"/>
      <c r="T32" s="189" t="n"/>
      <c r="U32" s="189" t="n"/>
      <c r="V32" s="190" t="n"/>
    </row>
    <row r="33" ht="13.2" customHeight="1">
      <c r="A33" s="191" t="n"/>
      <c r="B33" s="189" t="n"/>
      <c r="C33" s="189" t="n"/>
      <c r="D33" s="189" t="n"/>
      <c r="E33" s="189" t="n"/>
      <c r="F33" s="189" t="n"/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90" t="n"/>
    </row>
    <row r="34" ht="13.2" customHeight="1">
      <c r="A34" s="191" t="n"/>
      <c r="B34" s="189" t="n"/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  <c r="N34" s="189" t="n"/>
      <c r="O34" s="189" t="n"/>
      <c r="P34" s="189" t="n"/>
      <c r="Q34" s="189" t="n"/>
      <c r="R34" s="189" t="n"/>
      <c r="S34" s="189" t="n"/>
      <c r="T34" s="189" t="n"/>
      <c r="U34" s="189" t="n"/>
      <c r="V34" s="190" t="n"/>
    </row>
    <row r="35" ht="13.2" customHeight="1">
      <c r="A35" s="191" t="n"/>
      <c r="B35" s="189" t="n"/>
      <c r="C35" s="189" t="n"/>
      <c r="D35" s="189" t="n"/>
      <c r="E35" s="189" t="n"/>
      <c r="F35" s="189" t="n"/>
      <c r="G35" s="189" t="n"/>
      <c r="H35" s="189" t="n"/>
      <c r="I35" s="189" t="n"/>
      <c r="J35" s="189" t="n"/>
      <c r="K35" s="189" t="n"/>
      <c r="L35" s="189" t="n"/>
      <c r="M35" s="189" t="n"/>
      <c r="N35" s="189" t="n"/>
      <c r="O35" s="189" t="n"/>
      <c r="P35" s="189" t="n"/>
      <c r="Q35" s="189" t="n"/>
      <c r="R35" s="189" t="n"/>
      <c r="S35" s="189" t="n"/>
      <c r="T35" s="189" t="n"/>
      <c r="U35" s="189" t="n"/>
      <c r="V35" s="190" t="n"/>
    </row>
    <row r="36" ht="13.2" customHeight="1">
      <c r="A36" s="191" t="n"/>
      <c r="B36" s="189" t="n"/>
      <c r="C36" s="189" t="n"/>
      <c r="D36" s="189" t="n"/>
      <c r="E36" s="189" t="n"/>
      <c r="F36" s="189" t="n"/>
      <c r="G36" s="189" t="n"/>
      <c r="H36" s="189" t="n"/>
      <c r="I36" s="189" t="n"/>
      <c r="J36" s="189" t="n"/>
      <c r="K36" s="189" t="n"/>
      <c r="L36" s="189" t="n"/>
      <c r="M36" s="189" t="n"/>
      <c r="N36" s="189" t="n"/>
      <c r="O36" s="189" t="n"/>
      <c r="P36" s="189" t="n"/>
      <c r="Q36" s="189" t="n"/>
      <c r="R36" s="189" t="n"/>
      <c r="S36" s="189" t="n"/>
      <c r="T36" s="189" t="n"/>
      <c r="U36" s="189" t="n"/>
      <c r="V36" s="190" t="n"/>
    </row>
    <row r="37" ht="13.2" customHeight="1">
      <c r="A37" s="191" t="n"/>
      <c r="B37" s="189" t="n"/>
      <c r="C37" s="189" t="n"/>
      <c r="D37" s="189" t="n"/>
      <c r="E37" s="189" t="n"/>
      <c r="F37" s="189" t="n"/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90" t="n"/>
    </row>
    <row r="38" ht="13.2" customHeight="1">
      <c r="A38" s="191" t="n"/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  <c r="L38" s="189" t="n"/>
      <c r="M38" s="189" t="n"/>
      <c r="N38" s="189" t="n"/>
      <c r="O38" s="189" t="n"/>
      <c r="P38" s="189" t="n"/>
      <c r="Q38" s="189" t="n"/>
      <c r="R38" s="189" t="n"/>
      <c r="S38" s="189" t="n"/>
      <c r="T38" s="189" t="n"/>
      <c r="U38" s="189" t="n"/>
      <c r="V38" s="190" t="n"/>
    </row>
    <row r="39" ht="13.2" customHeight="1">
      <c r="A39" s="191" t="n"/>
      <c r="B39" s="189" t="n"/>
      <c r="C39" s="189" t="n"/>
      <c r="D39" s="189" t="n"/>
      <c r="E39" s="189" t="n"/>
      <c r="F39" s="189" t="n"/>
      <c r="G39" s="189" t="n"/>
      <c r="H39" s="189" t="n"/>
      <c r="I39" s="189" t="n"/>
      <c r="J39" s="189" t="n"/>
      <c r="K39" s="189" t="n"/>
      <c r="L39" s="189" t="n"/>
      <c r="M39" s="189" t="n"/>
      <c r="N39" s="189" t="n"/>
      <c r="O39" s="189" t="n"/>
      <c r="P39" s="189" t="n"/>
      <c r="Q39" s="189" t="n"/>
      <c r="R39" s="189" t="n"/>
      <c r="S39" s="189" t="n"/>
      <c r="T39" s="189" t="n"/>
      <c r="U39" s="189" t="n"/>
      <c r="V39" s="190" t="n"/>
    </row>
    <row r="40" ht="13.2" customHeight="1">
      <c r="A40" s="191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189" t="n"/>
      <c r="M40" s="189" t="n"/>
      <c r="N40" s="189" t="n"/>
      <c r="O40" s="189" t="n"/>
      <c r="P40" s="189" t="n"/>
      <c r="Q40" s="189" t="n"/>
      <c r="R40" s="189" t="n"/>
      <c r="S40" s="189" t="n"/>
      <c r="T40" s="189" t="n"/>
      <c r="U40" s="189" t="n"/>
      <c r="V40" s="190" t="n"/>
    </row>
    <row r="41" ht="13.2" customHeight="1">
      <c r="A41" s="191" t="n"/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189" t="n"/>
      <c r="M41" s="189" t="n"/>
      <c r="N41" s="189" t="n"/>
      <c r="O41" s="189" t="n"/>
      <c r="P41" s="189" t="n"/>
      <c r="Q41" s="189" t="n"/>
      <c r="R41" s="189" t="n"/>
      <c r="S41" s="189" t="n"/>
      <c r="T41" s="189" t="n"/>
      <c r="U41" s="189" t="n"/>
      <c r="V41" s="190" t="n"/>
    </row>
    <row r="42" ht="13.2" customHeight="1">
      <c r="A42" s="191" t="n"/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189" t="n"/>
      <c r="M42" s="189" t="n"/>
      <c r="N42" s="189" t="n"/>
      <c r="O42" s="189" t="n"/>
      <c r="P42" s="189" t="n"/>
      <c r="Q42" s="189" t="n"/>
      <c r="R42" s="189" t="n"/>
      <c r="S42" s="189" t="n"/>
      <c r="T42" s="189" t="n"/>
      <c r="U42" s="189" t="n"/>
      <c r="V42" s="190" t="n"/>
    </row>
    <row r="43" ht="13.2" customHeight="1">
      <c r="A43" s="191" t="n"/>
      <c r="B43" s="189" t="n"/>
      <c r="C43" s="189" t="n"/>
      <c r="D43" s="189" t="n"/>
      <c r="E43" s="189" t="n"/>
      <c r="F43" s="189" t="n"/>
      <c r="G43" s="189" t="n"/>
      <c r="H43" s="189" t="n"/>
      <c r="I43" s="189" t="n"/>
      <c r="J43" s="189" t="n"/>
      <c r="K43" s="189" t="n"/>
      <c r="L43" s="189" t="n"/>
      <c r="M43" s="189" t="n"/>
      <c r="N43" s="189" t="n"/>
      <c r="O43" s="189" t="n"/>
      <c r="P43" s="189" t="n"/>
      <c r="Q43" s="189" t="n"/>
      <c r="R43" s="189" t="n"/>
      <c r="S43" s="189" t="n"/>
      <c r="T43" s="189" t="n"/>
      <c r="U43" s="189" t="n"/>
      <c r="V43" s="190" t="n"/>
    </row>
    <row r="44" ht="13.2" customHeight="1">
      <c r="A44" s="191" t="n"/>
      <c r="B44" s="189" t="n"/>
      <c r="C44" s="189" t="n"/>
      <c r="D44" s="189" t="n"/>
      <c r="E44" s="189" t="n"/>
      <c r="F44" s="189" t="n"/>
      <c r="G44" s="189" t="n"/>
      <c r="H44" s="189" t="n"/>
      <c r="I44" s="189" t="n"/>
      <c r="J44" s="189" t="n"/>
      <c r="K44" s="189" t="n"/>
      <c r="L44" s="189" t="n"/>
      <c r="M44" s="189" t="n"/>
      <c r="N44" s="189" t="n"/>
      <c r="O44" s="189" t="n"/>
      <c r="P44" s="189" t="n"/>
      <c r="Q44" s="189" t="n"/>
      <c r="R44" s="189" t="n"/>
      <c r="S44" s="189" t="n"/>
      <c r="T44" s="189" t="n"/>
      <c r="U44" s="189" t="n"/>
      <c r="V44" s="190" t="n"/>
    </row>
    <row r="45" ht="13.2" customHeight="1">
      <c r="A45" s="19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  <c r="V45" s="199" t="n"/>
    </row>
    <row r="46">
      <c r="A46" s="1" t="inlineStr">
        <is>
          <t xml:space="preserve"> </t>
        </is>
      </c>
    </row>
  </sheetData>
  <mergeCells count="35">
    <mergeCell ref="R8:V8"/>
    <mergeCell ref="F5:N5"/>
    <mergeCell ref="Q5:V5"/>
    <mergeCell ref="O6:P6"/>
    <mergeCell ref="Q4:V4"/>
    <mergeCell ref="R10:V10"/>
    <mergeCell ref="A6:E6"/>
    <mergeCell ref="F8:N8"/>
    <mergeCell ref="Q6:V6"/>
    <mergeCell ref="R7:V7"/>
    <mergeCell ref="O5:P5"/>
    <mergeCell ref="A7:E7"/>
    <mergeCell ref="F7:N7"/>
    <mergeCell ref="F9:N9"/>
    <mergeCell ref="O8:Q8"/>
    <mergeCell ref="O4:P4"/>
    <mergeCell ref="A12:V15"/>
    <mergeCell ref="A11:V11"/>
    <mergeCell ref="A1:V3"/>
    <mergeCell ref="A5:E5"/>
    <mergeCell ref="O7:Q7"/>
    <mergeCell ref="A8:E8"/>
    <mergeCell ref="F4:N4"/>
    <mergeCell ref="A17:V20"/>
    <mergeCell ref="A9:E9"/>
    <mergeCell ref="O10:Q10"/>
    <mergeCell ref="A16:V16"/>
    <mergeCell ref="F10:N10"/>
    <mergeCell ref="A4:E4"/>
    <mergeCell ref="A22:V45"/>
    <mergeCell ref="A10:E10"/>
    <mergeCell ref="F6:N6"/>
    <mergeCell ref="O9:Q9"/>
    <mergeCell ref="A21:V21"/>
    <mergeCell ref="R9:V9"/>
  </mergeCells>
  <dataValidations disablePrompts="1" count="3">
    <dataValidation sqref="F6" showDropDown="0" showInputMessage="0" showErrorMessage="1" allowBlank="1" type="list" operator="equal">
      <formula1>"Aplicação,Projeto de Desenvolvimento,Projeto de Melhoria"</formula1>
      <formula2>0</formula2>
    </dataValidation>
    <dataValidation sqref="G6:N7" showDropDown="0" showInputMessage="0" showErrorMessage="1" allowBlank="1" type="list" operator="equal">
      <formula1>"Aplicação,Estimativa,Projeto de Desenvolvimento,Projeto de Melhoria"</formula1>
      <formula2>0</formula2>
    </dataValidation>
    <dataValidation sqref="F7" showDropDown="0" showInputMessage="0" showErrorMessage="1" allowBlank="1" promptTitle="Método de COntagem" prompt="Detalhada (IFPUG)_x000a_Estimativa (NESMA)_x000a_Indicativa (NESMA)" type="list" operator="equal">
      <formula1>"Detalhada (IFPUG),Estimativa (NESMA),Indicativa (NESMA)"</formula1>
      <formula2>0</formula2>
    </dataValidation>
  </dataValidations>
  <pageMargins left="0.7875" right="0.7875" top="0.7875" bottom="0.7875" header="0.5118055555555555" footer="0.5118055555555555"/>
  <pageSetup orientation="portrait" paperSize="9" scale="59" firstPageNumber="0" horizontalDpi="300" verticalDpi="300"/>
  <headerFooter alignWithMargins="0">
    <oddHeader/>
    <oddFooter>&amp;R&amp;"Tahoma,Normal"&amp;8 &amp;F - &amp;A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Plan2">
    <outlinePr summaryBelow="1" summaryRight="1"/>
    <pageSetUpPr fitToPage="1"/>
  </sheetPr>
  <dimension ref="A1:O1048572"/>
  <sheetViews>
    <sheetView showGridLines="0" tabSelected="1" zoomScale="115" zoomScaleNormal="115" zoomScaleSheetLayoutView="100" workbookViewId="0">
      <pane ySplit="7" topLeftCell="A8" activePane="bottomLeft" state="frozen"/>
      <selection activeCell="B11" sqref="B11"/>
      <selection pane="bottomLeft" activeCell="L14" sqref="L14"/>
    </sheetView>
  </sheetViews>
  <sheetFormatPr baseColWidth="8" defaultColWidth="8.88671875" defaultRowHeight="13.2"/>
  <cols>
    <col width="55.6640625" customWidth="1" min="1" max="1"/>
    <col width="5" customWidth="1" min="2" max="2"/>
    <col width="10.44140625" customWidth="1" min="3" max="3"/>
    <col width="3.6640625" customWidth="1" min="4" max="4"/>
    <col width="6.33203125" customWidth="1" min="5" max="5"/>
    <col width="8" customWidth="1" min="6" max="6"/>
    <col hidden="1" width="9" customWidth="1" min="7" max="7"/>
    <col width="7.44140625" bestFit="1" customWidth="1" min="8" max="8"/>
    <col hidden="1" width="6.6640625" customWidth="1" min="9" max="9"/>
    <col hidden="1" width="7.33203125" customWidth="1" min="10" max="10"/>
    <col width="12" bestFit="1" customWidth="1" min="11" max="11"/>
    <col width="11.109375" bestFit="1" customWidth="1" min="12" max="12"/>
    <col width="6.88671875" customWidth="1" min="13" max="13"/>
    <col width="8.44140625" bestFit="1" customWidth="1" style="117" min="14" max="14"/>
    <col width="45.88671875" customWidth="1" min="15" max="15"/>
  </cols>
  <sheetData>
    <row r="1" ht="13.8" customHeight="1" thickBot="1">
      <c r="A1" s="140" t="inlineStr">
        <is>
          <t>Planilha de contagem de ponto de função - Versão 2.4</t>
        </is>
      </c>
      <c r="B1" s="178" t="n"/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8" t="n"/>
      <c r="N1" s="178" t="n"/>
      <c r="O1" s="179" t="n"/>
    </row>
    <row r="2" ht="13.8" customHeight="1" thickBot="1">
      <c r="A2" s="75" t="n"/>
      <c r="O2" s="76" t="n"/>
    </row>
    <row r="3">
      <c r="A3" s="200" t="n"/>
      <c r="B3" s="201" t="n"/>
      <c r="C3" s="201" t="n"/>
      <c r="D3" s="201" t="n"/>
      <c r="E3" s="201" t="n"/>
      <c r="F3" s="201" t="n"/>
      <c r="G3" s="201" t="n"/>
      <c r="H3" s="201" t="n"/>
      <c r="I3" s="201" t="n"/>
      <c r="J3" s="201" t="n"/>
      <c r="K3" s="201" t="n"/>
      <c r="L3" s="201" t="n"/>
      <c r="M3" s="201" t="n"/>
      <c r="N3" s="201" t="n"/>
      <c r="O3" s="202" t="n"/>
    </row>
    <row r="4">
      <c r="A4" s="173">
        <f>Contagem!A5&amp;" : "&amp;Contagem!F5</f>
        <v/>
      </c>
      <c r="B4" s="203">
        <f>Contagem!A8&amp;" : "&amp;Contagem!F8</f>
        <v/>
      </c>
      <c r="C4" s="44" t="n"/>
      <c r="D4" s="44" t="n"/>
      <c r="E4" s="44" t="n"/>
      <c r="F4" s="44" t="n"/>
      <c r="G4" s="44" t="n"/>
      <c r="H4" s="44" t="n"/>
      <c r="I4" s="44" t="n"/>
      <c r="J4" s="182" t="n"/>
      <c r="K4" s="102" t="inlineStr">
        <is>
          <t>PF IFPUG</t>
        </is>
      </c>
      <c r="L4" s="105">
        <f>SUM(H8:H522)</f>
        <v/>
      </c>
      <c r="M4" s="139" t="n"/>
      <c r="N4" s="44" t="n"/>
      <c r="O4" s="185" t="n"/>
    </row>
    <row r="5">
      <c r="A5" s="173">
        <f>Contagem!A9&amp;" : "&amp;Contagem!F9</f>
        <v/>
      </c>
      <c r="B5" s="203">
        <f>Contagem!A10&amp;" : "&amp;Contagem!F10</f>
        <v/>
      </c>
      <c r="C5" s="44" t="n"/>
      <c r="D5" s="44" t="n"/>
      <c r="E5" s="44" t="n"/>
      <c r="F5" s="44" t="n"/>
      <c r="G5" s="44" t="n"/>
      <c r="H5" s="44" t="n"/>
      <c r="I5" s="44" t="n"/>
      <c r="J5" s="182" t="n"/>
      <c r="K5" s="104" t="inlineStr">
        <is>
          <t>PF Local do EM</t>
        </is>
      </c>
      <c r="L5" s="105">
        <f>SUM(K8:K522)</f>
        <v/>
      </c>
      <c r="M5" s="141" t="n"/>
      <c r="N5" s="44" t="n"/>
      <c r="O5" s="185" t="n"/>
    </row>
    <row r="6">
      <c r="A6" s="109">
        <f>Contagem!A4&amp;" : "&amp;Contagem!F4</f>
        <v/>
      </c>
      <c r="B6" s="204">
        <f>"Tipo da Contagem : "&amp;Contagem!F6</f>
        <v/>
      </c>
      <c r="C6" s="205" t="n"/>
      <c r="D6" s="205" t="n"/>
      <c r="E6" s="205" t="n"/>
      <c r="F6" s="205" t="n"/>
      <c r="G6" s="205" t="n"/>
      <c r="H6" s="205" t="n"/>
      <c r="I6" s="205" t="n"/>
      <c r="J6" s="206" t="n"/>
      <c r="K6" s="103" t="inlineStr">
        <is>
          <t>PF Local da FS</t>
        </is>
      </c>
      <c r="L6" s="105">
        <f>SUM(L8:L522)</f>
        <v/>
      </c>
      <c r="M6" s="139" t="n"/>
      <c r="N6" s="44" t="n"/>
      <c r="O6" s="185" t="n"/>
    </row>
    <row r="7" ht="13.5" customHeight="1">
      <c r="A7" s="119" t="inlineStr">
        <is>
          <t>Nome da Função</t>
        </is>
      </c>
      <c r="B7" s="122" t="inlineStr">
        <is>
          <t>Tipo</t>
        </is>
      </c>
      <c r="C7" s="123" t="inlineStr">
        <is>
          <t>Manutenção</t>
        </is>
      </c>
      <c r="D7" s="124" t="inlineStr">
        <is>
          <t>TD</t>
        </is>
      </c>
      <c r="E7" s="124" t="inlineStr">
        <is>
          <t>AR/TR</t>
        </is>
      </c>
      <c r="F7" s="124" t="inlineStr">
        <is>
          <t>Complex.</t>
        </is>
      </c>
      <c r="G7" s="126" t="inlineStr">
        <is>
          <t>ctl</t>
        </is>
      </c>
      <c r="H7" s="126" t="inlineStr">
        <is>
          <t>PF IFPUG</t>
        </is>
      </c>
      <c r="I7" s="126" t="inlineStr">
        <is>
          <t>C</t>
        </is>
      </c>
      <c r="J7" s="126" t="inlineStr">
        <is>
          <t>ctl2</t>
        </is>
      </c>
      <c r="K7" s="126" t="inlineStr">
        <is>
          <t>PF Local do EM</t>
        </is>
      </c>
      <c r="L7" s="127" t="inlineStr">
        <is>
          <t>PF Local da FS</t>
        </is>
      </c>
      <c r="M7" s="67" t="inlineStr">
        <is>
          <t>Pacote</t>
        </is>
      </c>
      <c r="N7" s="114" t="inlineStr">
        <is>
          <t>Referência</t>
        </is>
      </c>
      <c r="O7" s="68" t="inlineStr">
        <is>
          <t>Observações</t>
        </is>
      </c>
    </row>
    <row r="8">
      <c r="A8" s="120" t="n"/>
      <c r="B8" s="121" t="n"/>
      <c r="C8" s="121" t="n"/>
      <c r="D8" s="121" t="n"/>
      <c r="E8" s="121" t="n"/>
      <c r="F8" s="132">
        <f>IF(ISBLANK(B8),"",IF(I8="L","Baixa",IF(I8="A","Média",IF(I8="","","Alta"))))</f>
        <v/>
      </c>
      <c r="G8" s="121">
        <f>CONCATENATE(B8,I8)</f>
        <v/>
      </c>
      <c r="H8" s="133">
        <f>IF(ISBLANK(B8),"",IF(B8="ALI",IF(I8="L",7,IF(I8="A",10,15)),IF(B8="AIE",IF(I8="L",5,IF(I8="A",7,10)),IF(B8="SE",IF(I8="L",4,IF(I8="A",5,7)),IF(OR(B8="EE",B8="CE"),IF(I8="L",3,IF(I8="A",4,6)),0)))))</f>
        <v/>
      </c>
      <c r="I8" s="134">
        <f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121">
        <f>CONCATENATE(B8,C8)</f>
        <v/>
      </c>
      <c r="K8" s="135">
        <f>IF(OR(H8="",H8=0),L8,H8)</f>
        <v/>
      </c>
      <c r="L8" s="135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25" t="n"/>
      <c r="N8" s="115" t="n"/>
      <c r="O8" s="115" t="n"/>
    </row>
    <row r="9">
      <c r="A9" s="120" t="n"/>
      <c r="B9" s="121" t="n"/>
      <c r="C9" s="121" t="n"/>
      <c r="D9" s="121" t="n"/>
      <c r="E9" s="121" t="n"/>
      <c r="F9" s="132">
        <f>IF(ISBLANK(B9),"",IF(I9="L","Baixa",IF(I9="A","Média",IF(I9="","","Alta"))))</f>
        <v/>
      </c>
      <c r="G9" s="121">
        <f>CONCATENATE(B9,I9)</f>
        <v/>
      </c>
      <c r="H9" s="133">
        <f>IF(ISBLANK(B9),"",IF(B9="ALI",IF(I9="L",7,IF(I9="A",10,15)),IF(B9="AIE",IF(I9="L",5,IF(I9="A",7,10)),IF(B9="SE",IF(I9="L",4,IF(I9="A",5,7)),IF(OR(B9="EE",B9="CE"),IF(I9="L",3,IF(I9="A",4,6)),0)))))</f>
        <v/>
      </c>
      <c r="I9" s="134">
        <f>IF(OR(ISBLANK(D9),ISBLANK(E9)),IF(OR(B9="ALI",B9="AIE"),"L",IF(OR(B9="EE",B9="SE",B9="CE"),"A","")),IF(B9="EE",IF(E9&gt;=3,IF(D9&gt;=5,"H","A"),IF(E9&gt;=2,IF(D9&gt;=16,"H",IF(D9&lt;=4,"L","A")),IF(D9&lt;=15,"L","A"))),IF(OR(B9="SE",B9="CE"),IF(E9&gt;=4,IF(D9&gt;=6,"H","A"),IF(E9&gt;=2,IF(D9&gt;=20,"H",IF(D9&lt;=5,"L","A")),IF(D9&lt;=19,"L","A"))),IF(OR(B9="ALI",B9="AIE"),IF(E9&gt;=6,IF(D9&gt;=20,"H","A"),IF(E9&gt;=2,IF(D9&gt;=51,"H",IF(D9&lt;=19,"L","A")),IF(D9&lt;=50,"L","A"))),""))))</f>
        <v/>
      </c>
      <c r="J9" s="121">
        <f>CONCATENATE(B9,C9)</f>
        <v/>
      </c>
      <c r="K9" s="135">
        <f>IF(OR(H9="",H9=0),L9,H9)</f>
        <v/>
      </c>
      <c r="L9" s="135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25" t="n"/>
      <c r="N9" s="115" t="n"/>
      <c r="O9" s="115" t="n"/>
    </row>
    <row r="10" ht="15" customHeight="1">
      <c r="A10" s="120" t="n"/>
      <c r="B10" s="121" t="n"/>
      <c r="C10" s="121" t="n"/>
      <c r="D10" s="121" t="n"/>
      <c r="E10" s="121" t="n"/>
      <c r="F10" s="132">
        <f>IF(ISBLANK(B10),"",IF(I10="L","Baixa",IF(I10="A","Média",IF(I10="","","Alta"))))</f>
        <v/>
      </c>
      <c r="G10" s="121">
        <f>CONCATENATE(B10,I10)</f>
        <v/>
      </c>
      <c r="H10" s="133">
        <f>IF(ISBLANK(B10),"",IF(B10="ALI",IF(I10="L",7,IF(I10="A",10,15)),IF(B10="AIE",IF(I10="L",5,IF(I10="A",7,10)),IF(B10="SE",IF(I10="L",4,IF(I10="A",5,7)),IF(OR(B10="EE",B10="CE"),IF(I10="L",3,IF(I10="A",4,6)),0)))))</f>
        <v/>
      </c>
      <c r="I10" s="134">
        <f>IF(OR(ISBLANK(D10),ISBLANK(E10)),IF(OR(B10="ALI",B10="AIE"),"L",IF(OR(B10="EE",B10="SE",B10="CE"),"A","")),IF(B10="EE",IF(E10&gt;=3,IF(D10&gt;=5,"H","A"),IF(E10&gt;=2,IF(D10&gt;=16,"H",IF(D10&lt;=4,"L","A")),IF(D10&lt;=15,"L","A"))),IF(OR(B10="SE",B10="CE"),IF(E10&gt;=4,IF(D10&gt;=6,"H","A"),IF(E10&gt;=2,IF(D10&gt;=20,"H",IF(D10&lt;=5,"L","A")),IF(D10&lt;=19,"L","A"))),IF(OR(B10="ALI",B10="AIE"),IF(E10&gt;=6,IF(D10&gt;=20,"H","A"),IF(E10&gt;=2,IF(D10&gt;=51,"H",IF(D10&lt;=19,"L","A")),IF(D10&lt;=50,"L","A"))),""))))</f>
        <v/>
      </c>
      <c r="J10" s="121">
        <f>CONCATENATE(B10,C10)</f>
        <v/>
      </c>
      <c r="K10" s="135">
        <f>IF(OR(H10="",H10=0),L10,H10)</f>
        <v/>
      </c>
      <c r="L10" s="135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25" t="n"/>
      <c r="N10" s="115" t="n"/>
      <c r="O10" s="115" t="n"/>
    </row>
    <row r="11">
      <c r="A11" s="120" t="n"/>
      <c r="B11" s="121" t="n"/>
      <c r="C11" s="121" t="n"/>
      <c r="D11" s="121" t="n"/>
      <c r="E11" s="121" t="n"/>
      <c r="F11" s="132">
        <f>IF(ISBLANK(B11),"",IF(I11="L","Baixa",IF(I11="A","Média",IF(I11="","","Alta"))))</f>
        <v/>
      </c>
      <c r="G11" s="121">
        <f>CONCATENATE(B11,I11)</f>
        <v/>
      </c>
      <c r="H11" s="133">
        <f>IF(ISBLANK(B11),"",IF(B11="ALI",IF(I11="L",7,IF(I11="A",10,15)),IF(B11="AIE",IF(I11="L",5,IF(I11="A",7,10)),IF(B11="SE",IF(I11="L",4,IF(I11="A",5,7)),IF(OR(B11="EE",B11="CE"),IF(I11="L",3,IF(I11="A",4,6)),0)))))</f>
        <v/>
      </c>
      <c r="I11" s="134">
        <f>IF(OR(ISBLANK(D11),ISBLANK(E11)),IF(OR(B11="ALI",B11="AIE"),"L",IF(OR(B11="EE",B11="SE",B11="CE"),"A","")),IF(B11="EE",IF(E11&gt;=3,IF(D11&gt;=5,"H","A"),IF(E11&gt;=2,IF(D11&gt;=16,"H",IF(D11&lt;=4,"L","A")),IF(D11&lt;=15,"L","A"))),IF(OR(B11="SE",B11="CE"),IF(E11&gt;=4,IF(D11&gt;=6,"H","A"),IF(E11&gt;=2,IF(D11&gt;=20,"H",IF(D11&lt;=5,"L","A")),IF(D11&lt;=19,"L","A"))),IF(OR(B11="ALI",B11="AIE"),IF(E11&gt;=6,IF(D11&gt;=20,"H","A"),IF(E11&gt;=2,IF(D11&gt;=51,"H",IF(D11&lt;=19,"L","A")),IF(D11&lt;=50,"L","A"))),""))))</f>
        <v/>
      </c>
      <c r="J11" s="121">
        <f>CONCATENATE(B11,C11)</f>
        <v/>
      </c>
      <c r="K11" s="135">
        <f>IF(OR(H11="",H11=0),L11,H11)</f>
        <v/>
      </c>
      <c r="L11" s="135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125" t="n"/>
      <c r="N11" s="115" t="n"/>
      <c r="O11" s="115" t="n"/>
    </row>
    <row r="12">
      <c r="A12" s="112" t="n"/>
      <c r="B12" s="4" t="n"/>
      <c r="C12" s="4" t="n"/>
      <c r="D12" s="4" t="n"/>
      <c r="E12" s="4" t="n"/>
      <c r="F12" s="128">
        <f>IF(ISBLANK(B12),"",IF(I12="L","Baixa",IF(I12="A","Média",IF(I12="","","Alta"))))</f>
        <v/>
      </c>
      <c r="G12" s="4">
        <f>CONCATENATE(B12,I12)</f>
        <v/>
      </c>
      <c r="H12" s="129">
        <f>IF(ISBLANK(B12),"",IF(B12="ALI",IF(I12="L",7,IF(I12="A",10,15)),IF(B12="AIE",IF(I12="L",5,IF(I12="A",7,10)),IF(B12="SE",IF(I12="L",4,IF(I12="A",5,7)),IF(OR(B12="EE",B12="CE"),IF(I12="L",3,IF(I12="A",4,6)),0)))))</f>
        <v/>
      </c>
      <c r="I12" s="130">
        <f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4">
        <f>CONCATENATE(B12,C12)</f>
        <v/>
      </c>
      <c r="K12" s="131">
        <f>IF(OR(H12="",H12=0),L12,H12)</f>
        <v/>
      </c>
      <c r="L12" s="131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 t="n"/>
      <c r="N12" s="115" t="n"/>
      <c r="O12" s="115" t="n"/>
    </row>
    <row r="13">
      <c r="A13" s="112" t="n"/>
      <c r="B13" s="4" t="n"/>
      <c r="C13" s="4" t="n"/>
      <c r="D13" s="7" t="n"/>
      <c r="E13" s="7" t="n"/>
      <c r="F13" s="8">
        <f>IF(ISBLANK(B13),"",IF(I13="L","Baixa",IF(I13="A","Média",IF(I13="","","Alta"))))</f>
        <v/>
      </c>
      <c r="G13" s="7">
        <f>CONCATENATE(B13,I13)</f>
        <v/>
      </c>
      <c r="H13" s="5">
        <f>IF(ISBLANK(B13),"",IF(B13="ALI",IF(I13="L",7,IF(I13="A",10,15)),IF(B13="AIE",IF(I13="L",5,IF(I13="A",7,10)),IF(B13="SE",IF(I13="L",4,IF(I13="A",5,7)),IF(OR(B13="EE",B13="CE"),IF(I13="L",3,IF(I13="A",4,6)),0)))))</f>
        <v/>
      </c>
      <c r="I13" s="110">
        <f>IF(OR(ISBLANK(D13),ISBLANK(E13)),IF(OR(B13="ALI",B13="AIE"),"L",IF(OR(B13="EE",B13="SE",B13="CE"),"A","")),IF(B13="EE",IF(E13&gt;=3,IF(D13&gt;=5,"H","A"),IF(E13&gt;=2,IF(D13&gt;=16,"H",IF(D13&lt;=4,"L","A")),IF(D13&lt;=15,"L","A"))),IF(OR(B13="SE",B13="CE"),IF(E13&gt;=4,IF(D13&gt;=6,"H","A"),IF(E13&gt;=2,IF(D13&gt;=20,"H",IF(D13&lt;=5,"L","A")),IF(D13&lt;=19,"L","A"))),IF(OR(B13="ALI",B13="AIE"),IF(E13&gt;=6,IF(D13&gt;=20,"H","A"),IF(E13&gt;=2,IF(D13&gt;=51,"H",IF(D13&lt;=19,"L","A")),IF(D13&lt;=50,"L","A"))),""))))</f>
        <v/>
      </c>
      <c r="J13" s="7">
        <f>CONCATENATE(B13,C13)</f>
        <v/>
      </c>
      <c r="K13" s="9">
        <f>IF(OR(H13="",H13=0),L13,H13)</f>
        <v/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10" t="n"/>
      <c r="N13" s="115" t="n"/>
      <c r="O13" s="6" t="n"/>
    </row>
    <row r="14">
      <c r="A14" s="112" t="n"/>
      <c r="B14" s="4" t="n"/>
      <c r="C14" s="4" t="n"/>
      <c r="D14" s="7" t="n"/>
      <c r="E14" s="7" t="n"/>
      <c r="F14" s="8">
        <f>IF(ISBLANK(B14),"",IF(I14="L","Baixa",IF(I14="A","Média",IF(I14="","","Alta"))))</f>
        <v/>
      </c>
      <c r="G14" s="7">
        <f>CONCATENATE(B14,I14)</f>
        <v/>
      </c>
      <c r="H14" s="5">
        <f>IF(ISBLANK(B14),"",IF(B14="ALI",IF(I14="L",7,IF(I14="A",10,15)),IF(B14="AIE",IF(I14="L",5,IF(I14="A",7,10)),IF(B14="SE",IF(I14="L",4,IF(I14="A",5,7)),IF(OR(B14="EE",B14="CE"),IF(I14="L",3,IF(I14="A",4,6)),0)))))</f>
        <v/>
      </c>
      <c r="I14" s="110">
        <f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/>
      </c>
      <c r="J14" s="7">
        <f>CONCATENATE(B14,C14)</f>
        <v/>
      </c>
      <c r="K14" s="9">
        <f>IF(OR(H14="",H14=0),L14,H14)</f>
        <v/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10" t="n"/>
      <c r="N14" s="115" t="n"/>
      <c r="O14" s="6" t="n"/>
    </row>
    <row r="15">
      <c r="A15" s="112" t="n"/>
      <c r="B15" s="4" t="n"/>
      <c r="C15" s="4" t="n"/>
      <c r="D15" s="7" t="n"/>
      <c r="E15" s="7" t="n"/>
      <c r="F15" s="8">
        <f>IF(ISBLANK(B15),"",IF(I15="L","Baixa",IF(I15="A","Média",IF(I15="","","Alta"))))</f>
        <v/>
      </c>
      <c r="G15" s="7">
        <f>CONCATENATE(B15,I15)</f>
        <v/>
      </c>
      <c r="H15" s="5">
        <f>IF(ISBLANK(B15),"",IF(B15="ALI",IF(I15="L",7,IF(I15="A",10,15)),IF(B15="AIE",IF(I15="L",5,IF(I15="A",7,10)),IF(B15="SE",IF(I15="L",4,IF(I15="A",5,7)),IF(OR(B15="EE",B15="CE"),IF(I15="L",3,IF(I15="A",4,6)),0)))))</f>
        <v/>
      </c>
      <c r="I15" s="110">
        <f>IF(OR(ISBLANK(D15),ISBLANK(E15)),IF(OR(B15="ALI",B15="AIE"),"L",IF(OR(B15="EE",B15="SE",B15="CE"),"A","")),IF(B15="EE",IF(E15&gt;=3,IF(D15&gt;=5,"H","A"),IF(E15&gt;=2,IF(D15&gt;=16,"H",IF(D15&lt;=4,"L","A")),IF(D15&lt;=15,"L","A"))),IF(OR(B15="SE",B15="CE"),IF(E15&gt;=4,IF(D15&gt;=6,"H","A"),IF(E15&gt;=2,IF(D15&gt;=20,"H",IF(D15&lt;=5,"L","A")),IF(D15&lt;=19,"L","A"))),IF(OR(B15="ALI",B15="AIE"),IF(E15&gt;=6,IF(D15&gt;=20,"H","A"),IF(E15&gt;=2,IF(D15&gt;=51,"H",IF(D15&lt;=19,"L","A")),IF(D15&lt;=50,"L","A"))),""))))</f>
        <v/>
      </c>
      <c r="J15" s="7">
        <f>CONCATENATE(B15,C15)</f>
        <v/>
      </c>
      <c r="K15" s="9">
        <f>IF(OR(H15="",H15=0),L15,H15)</f>
        <v/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10" t="n"/>
      <c r="N15" s="115" t="n"/>
      <c r="O15" s="6" t="n"/>
    </row>
    <row r="16">
      <c r="A16" s="112" t="n"/>
      <c r="B16" s="4" t="n"/>
      <c r="C16" s="4" t="n"/>
      <c r="D16" s="7" t="n"/>
      <c r="E16" s="7" t="n"/>
      <c r="F16" s="8">
        <f>IF(ISBLANK(B16),"",IF(I16="L","Baixa",IF(I16="A","Média",IF(I16="","","Alta"))))</f>
        <v/>
      </c>
      <c r="G16" s="7">
        <f>CONCATENATE(B16,I16)</f>
        <v/>
      </c>
      <c r="H16" s="5">
        <f>IF(ISBLANK(B16),"",IF(B16="ALI",IF(I16="L",7,IF(I16="A",10,15)),IF(B16="AIE",IF(I16="L",5,IF(I16="A",7,10)),IF(B16="SE",IF(I16="L",4,IF(I16="A",5,7)),IF(OR(B16="EE",B16="CE"),IF(I16="L",3,IF(I16="A",4,6)),0)))))</f>
        <v/>
      </c>
      <c r="I16" s="110">
        <f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/>
      </c>
      <c r="J16" s="7">
        <f>CONCATENATE(B16,C16)</f>
        <v/>
      </c>
      <c r="K16" s="9">
        <f>IF(OR(H16="",H16=0),L16,H16)</f>
        <v/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10" t="n"/>
      <c r="N16" s="115" t="n"/>
      <c r="O16" s="6" t="n"/>
    </row>
    <row r="17">
      <c r="A17" s="112" t="n"/>
      <c r="B17" s="4" t="n"/>
      <c r="C17" s="4" t="n"/>
      <c r="D17" s="7" t="n"/>
      <c r="E17" s="7" t="n"/>
      <c r="F17" s="8">
        <f>IF(ISBLANK(B17),"",IF(I17="L","Baixa",IF(I17="A","Média",IF(I17="","","Alta"))))</f>
        <v/>
      </c>
      <c r="G17" s="7">
        <f>CONCATENATE(B17,I17)</f>
        <v/>
      </c>
      <c r="H17" s="5">
        <f>IF(ISBLANK(B17),"",IF(B17="ALI",IF(I17="L",7,IF(I17="A",10,15)),IF(B17="AIE",IF(I17="L",5,IF(I17="A",7,10)),IF(B17="SE",IF(I17="L",4,IF(I17="A",5,7)),IF(OR(B17="EE",B17="CE"),IF(I17="L",3,IF(I17="A",4,6)),0)))))</f>
        <v/>
      </c>
      <c r="I17" s="110">
        <f>IF(OR(ISBLANK(D17),ISBLANK(E17)),IF(OR(B17="ALI",B17="AIE"),"L",IF(OR(B17="EE",B17="SE",B17="CE"),"A","")),IF(B17="EE",IF(E17&gt;=3,IF(D17&gt;=5,"H","A"),IF(E17&gt;=2,IF(D17&gt;=16,"H",IF(D17&lt;=4,"L","A")),IF(D17&lt;=15,"L","A"))),IF(OR(B17="SE",B17="CE"),IF(E17&gt;=4,IF(D17&gt;=6,"H","A"),IF(E17&gt;=2,IF(D17&gt;=20,"H",IF(D17&lt;=5,"L","A")),IF(D17&lt;=19,"L","A"))),IF(OR(B17="ALI",B17="AIE"),IF(E17&gt;=6,IF(D17&gt;=20,"H","A"),IF(E17&gt;=2,IF(D17&gt;=51,"H",IF(D17&lt;=19,"L","A")),IF(D17&lt;=50,"L","A"))),""))))</f>
        <v/>
      </c>
      <c r="J17" s="7">
        <f>CONCATENATE(B17,C17)</f>
        <v/>
      </c>
      <c r="K17" s="9">
        <f>IF(OR(H17="",H17=0),L17,H17)</f>
        <v/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/>
      </c>
      <c r="M17" s="10" t="n"/>
      <c r="N17" s="115" t="n"/>
      <c r="O17" s="6" t="n"/>
    </row>
    <row r="18">
      <c r="A18" s="112" t="n"/>
      <c r="B18" s="4" t="n"/>
      <c r="C18" s="4" t="n"/>
      <c r="D18" s="7" t="n"/>
      <c r="E18" s="7" t="n"/>
      <c r="F18" s="8">
        <f>IF(ISBLANK(B18),"",IF(I18="L","Baixa",IF(I18="A","Média",IF(I18="","","Alta"))))</f>
        <v/>
      </c>
      <c r="G18" s="7">
        <f>CONCATENATE(B18,I18)</f>
        <v/>
      </c>
      <c r="H18" s="5">
        <f>IF(ISBLANK(B18),"",IF(B18="ALI",IF(I18="L",7,IF(I18="A",10,15)),IF(B18="AIE",IF(I18="L",5,IF(I18="A",7,10)),IF(B18="SE",IF(I18="L",4,IF(I18="A",5,7)),IF(OR(B18="EE",B18="CE"),IF(I18="L",3,IF(I18="A",4,6)),0)))))</f>
        <v/>
      </c>
      <c r="I18" s="110">
        <f>IF(OR(ISBLANK(D18),ISBLANK(E18)),IF(OR(B18="ALI",B18="AIE"),"L",IF(OR(B18="EE",B18="SE",B18="CE"),"A","")),IF(B18="EE",IF(E18&gt;=3,IF(D18&gt;=5,"H","A"),IF(E18&gt;=2,IF(D18&gt;=16,"H",IF(D18&lt;=4,"L","A")),IF(D18&lt;=15,"L","A"))),IF(OR(B18="SE",B18="CE"),IF(E18&gt;=4,IF(D18&gt;=6,"H","A"),IF(E18&gt;=2,IF(D18&gt;=20,"H",IF(D18&lt;=5,"L","A")),IF(D18&lt;=19,"L","A"))),IF(OR(B18="ALI",B18="AIE"),IF(E18&gt;=6,IF(D18&gt;=20,"H","A"),IF(E18&gt;=2,IF(D18&gt;=51,"H",IF(D18&lt;=19,"L","A")),IF(D18&lt;=50,"L","A"))),""))))</f>
        <v/>
      </c>
      <c r="J18" s="7">
        <f>CONCATENATE(B18,C18)</f>
        <v/>
      </c>
      <c r="K18" s="9">
        <f>IF(OR(H18="",H18=0),L18,H18)</f>
        <v/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10" t="n"/>
      <c r="N18" s="115" t="n"/>
      <c r="O18" s="6" t="n"/>
    </row>
    <row r="19">
      <c r="A19" s="112" t="n"/>
      <c r="B19" s="4" t="n"/>
      <c r="C19" s="4" t="n"/>
      <c r="D19" s="7" t="n"/>
      <c r="E19" s="7" t="n"/>
      <c r="F19" s="8">
        <f>IF(ISBLANK(B19),"",IF(I19="L","Baixa",IF(I19="A","Média",IF(I19="","","Alta"))))</f>
        <v/>
      </c>
      <c r="G19" s="7">
        <f>CONCATENATE(B19,I19)</f>
        <v/>
      </c>
      <c r="H19" s="5">
        <f>IF(ISBLANK(B19),"",IF(B19="ALI",IF(I19="L",7,IF(I19="A",10,15)),IF(B19="AIE",IF(I19="L",5,IF(I19="A",7,10)),IF(B19="SE",IF(I19="L",4,IF(I19="A",5,7)),IF(OR(B19="EE",B19="CE"),IF(I19="L",3,IF(I19="A",4,6)),0)))))</f>
        <v/>
      </c>
      <c r="I19" s="110">
        <f>IF(OR(ISBLANK(D19),ISBLANK(E19)),IF(OR(B19="ALI",B19="AIE"),"L",IF(OR(B19="EE",B19="SE",B19="CE"),"A","")),IF(B19="EE",IF(E19&gt;=3,IF(D19&gt;=5,"H","A"),IF(E19&gt;=2,IF(D19&gt;=16,"H",IF(D19&lt;=4,"L","A")),IF(D19&lt;=15,"L","A"))),IF(OR(B19="SE",B19="CE"),IF(E19&gt;=4,IF(D19&gt;=6,"H","A"),IF(E19&gt;=2,IF(D19&gt;=20,"H",IF(D19&lt;=5,"L","A")),IF(D19&lt;=19,"L","A"))),IF(OR(B19="ALI",B19="AIE"),IF(E19&gt;=6,IF(D19&gt;=20,"H","A"),IF(E19&gt;=2,IF(D19&gt;=51,"H",IF(D19&lt;=19,"L","A")),IF(D19&lt;=50,"L","A"))),""))))</f>
        <v/>
      </c>
      <c r="J19" s="7">
        <f>CONCATENATE(B19,C19)</f>
        <v/>
      </c>
      <c r="K19" s="9">
        <f>IF(OR(H19="",H19=0),L19,H19)</f>
        <v/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10" t="n"/>
      <c r="N19" s="115" t="n"/>
      <c r="O19" s="6" t="n"/>
    </row>
    <row r="20">
      <c r="A20" s="112" t="n"/>
      <c r="B20" s="4" t="n"/>
      <c r="C20" s="4" t="n"/>
      <c r="D20" s="7" t="n"/>
      <c r="E20" s="7" t="n"/>
      <c r="F20" s="8">
        <f>IF(ISBLANK(B20),"",IF(I20="L","Baixa",IF(I20="A","Média",IF(I20="","","Alta"))))</f>
        <v/>
      </c>
      <c r="G20" s="7">
        <f>CONCATENATE(B20,I20)</f>
        <v/>
      </c>
      <c r="H20" s="5">
        <f>IF(ISBLANK(B20),"",IF(B20="ALI",IF(I20="L",7,IF(I20="A",10,15)),IF(B20="AIE",IF(I20="L",5,IF(I20="A",7,10)),IF(B20="SE",IF(I20="L",4,IF(I20="A",5,7)),IF(OR(B20="EE",B20="CE"),IF(I20="L",3,IF(I20="A",4,6)),0)))))</f>
        <v/>
      </c>
      <c r="I20" s="110">
        <f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/>
      </c>
      <c r="J20" s="7">
        <f>CONCATENATE(B20,C20)</f>
        <v/>
      </c>
      <c r="K20" s="9">
        <f>IF(OR(H20="",H20=0),L20,H20)</f>
        <v/>
      </c>
      <c r="L20" s="9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 t="n"/>
      <c r="N20" s="115" t="n"/>
      <c r="O20" s="6" t="n"/>
    </row>
    <row r="21">
      <c r="A21" s="112" t="n"/>
      <c r="B21" s="4" t="n"/>
      <c r="C21" s="4" t="n"/>
      <c r="D21" s="7" t="n"/>
      <c r="E21" s="7" t="n"/>
      <c r="F21" s="8">
        <f>IF(ISBLANK(B21),"",IF(I21="L","Baixa",IF(I21="A","Média",IF(I21="","","Alta"))))</f>
        <v/>
      </c>
      <c r="G21" s="7">
        <f>CONCATENATE(B21,I21)</f>
        <v/>
      </c>
      <c r="H21" s="5">
        <f>IF(ISBLANK(B21),"",IF(B21="ALI",IF(I21="L",7,IF(I21="A",10,15)),IF(B21="AIE",IF(I21="L",5,IF(I21="A",7,10)),IF(B21="SE",IF(I21="L",4,IF(I21="A",5,7)),IF(OR(B21="EE",B21="CE"),IF(I21="L",3,IF(I21="A",4,6)),0)))))</f>
        <v/>
      </c>
      <c r="I21" s="110">
        <f>IF(OR(ISBLANK(D21),ISBLANK(E21)),IF(OR(B21="ALI",B21="AIE"),"L",IF(OR(B21="EE",B21="SE",B21="CE"),"A","")),IF(B21="EE",IF(E21&gt;=3,IF(D21&gt;=5,"H","A"),IF(E21&gt;=2,IF(D21&gt;=16,"H",IF(D21&lt;=4,"L","A")),IF(D21&lt;=15,"L","A"))),IF(OR(B21="SE",B21="CE"),IF(E21&gt;=4,IF(D21&gt;=6,"H","A"),IF(E21&gt;=2,IF(D21&gt;=20,"H",IF(D21&lt;=5,"L","A")),IF(D21&lt;=19,"L","A"))),IF(OR(B21="ALI",B21="AIE"),IF(E21&gt;=6,IF(D21&gt;=20,"H","A"),IF(E21&gt;=2,IF(D21&gt;=51,"H",IF(D21&lt;=19,"L","A")),IF(D21&lt;=50,"L","A"))),""))))</f>
        <v/>
      </c>
      <c r="J21" s="7">
        <f>CONCATENATE(B21,C21)</f>
        <v/>
      </c>
      <c r="K21" s="9">
        <f>IF(OR(H21="",H21=0),L21,H21)</f>
        <v/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10" t="n"/>
      <c r="N21" s="115" t="n"/>
      <c r="O21" s="6" t="n"/>
    </row>
    <row r="22">
      <c r="A22" s="112" t="n"/>
      <c r="B22" s="4" t="n"/>
      <c r="C22" s="4" t="n"/>
      <c r="D22" s="7" t="n"/>
      <c r="E22" s="7" t="n"/>
      <c r="F22" s="8">
        <f>IF(ISBLANK(B22),"",IF(I22="L","Baixa",IF(I22="A","Média",IF(I22="","","Alta"))))</f>
        <v/>
      </c>
      <c r="G22" s="7">
        <f>CONCATENATE(B22,I22)</f>
        <v/>
      </c>
      <c r="H22" s="5">
        <f>IF(ISBLANK(B22),"",IF(B22="ALI",IF(I22="L",7,IF(I22="A",10,15)),IF(B22="AIE",IF(I22="L",5,IF(I22="A",7,10)),IF(B22="SE",IF(I22="L",4,IF(I22="A",5,7)),IF(OR(B22="EE",B22="CE"),IF(I22="L",3,IF(I22="A",4,6)),0)))))</f>
        <v/>
      </c>
      <c r="I22" s="110">
        <f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/>
      </c>
      <c r="J22" s="7">
        <f>CONCATENATE(B22,C22)</f>
        <v/>
      </c>
      <c r="K22" s="9">
        <f>IF(OR(H22="",H22=0),L22,H22)</f>
        <v/>
      </c>
      <c r="L22" s="9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 t="n"/>
      <c r="N22" s="115" t="n"/>
      <c r="O22" s="6" t="n"/>
    </row>
    <row r="23">
      <c r="A23" s="112" t="n"/>
      <c r="B23" s="4" t="n"/>
      <c r="C23" s="4" t="n"/>
      <c r="D23" s="7" t="n"/>
      <c r="E23" s="7" t="n"/>
      <c r="F23" s="8">
        <f>IF(ISBLANK(B23),"",IF(I23="L","Baixa",IF(I23="A","Média",IF(I23="","","Alta"))))</f>
        <v/>
      </c>
      <c r="G23" s="7">
        <f>CONCATENATE(B23,I23)</f>
        <v/>
      </c>
      <c r="H23" s="5">
        <f>IF(ISBLANK(B23),"",IF(B23="ALI",IF(I23="L",7,IF(I23="A",10,15)),IF(B23="AIE",IF(I23="L",5,IF(I23="A",7,10)),IF(B23="SE",IF(I23="L",4,IF(I23="A",5,7)),IF(OR(B23="EE",B23="CE"),IF(I23="L",3,IF(I23="A",4,6)),0)))))</f>
        <v/>
      </c>
      <c r="I23" s="110">
        <f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/>
      </c>
      <c r="J23" s="7">
        <f>CONCATENATE(B23,C23)</f>
        <v/>
      </c>
      <c r="K23" s="9">
        <f>IF(OR(H23="",H23=0),L23,H23)</f>
        <v/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 t="n"/>
      <c r="N23" s="115" t="n"/>
      <c r="O23" s="6" t="n"/>
    </row>
    <row r="24">
      <c r="A24" s="118" t="n"/>
      <c r="B24" s="4" t="n"/>
      <c r="C24" s="4" t="n"/>
      <c r="D24" s="7" t="n"/>
      <c r="E24" s="7" t="n"/>
      <c r="F24" s="8">
        <f>IF(ISBLANK(B24),"",IF(I24="L","Baixa",IF(I24="A","Média",IF(I24="","","Alta"))))</f>
        <v/>
      </c>
      <c r="G24" s="7">
        <f>CONCATENATE(B24,I24)</f>
        <v/>
      </c>
      <c r="H24" s="5">
        <f>IF(ISBLANK(B24),"",IF(B24="ALI",IF(I24="L",7,IF(I24="A",10,15)),IF(B24="AIE",IF(I24="L",5,IF(I24="A",7,10)),IF(B24="SE",IF(I24="L",4,IF(I24="A",5,7)),IF(OR(B24="EE",B24="CE"),IF(I24="L",3,IF(I24="A",4,6)),0)))))</f>
        <v/>
      </c>
      <c r="I24" s="110">
        <f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/>
      </c>
      <c r="J24" s="7">
        <f>CONCATENATE(B24,C24)</f>
        <v/>
      </c>
      <c r="K24" s="9">
        <f>IF(OR(H24="",H24=0),L24,H24)</f>
        <v/>
      </c>
      <c r="L24" s="9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 t="n"/>
      <c r="N24" s="115" t="n"/>
      <c r="O24" s="6" t="n"/>
    </row>
    <row r="25">
      <c r="A25" s="118" t="n"/>
      <c r="B25" s="4" t="n"/>
      <c r="C25" s="4" t="n"/>
      <c r="D25" s="7" t="n"/>
      <c r="E25" s="7" t="n"/>
      <c r="F25" s="8">
        <f>IF(ISBLANK(B25),"",IF(I25="L","Baixa",IF(I25="A","Média",IF(I25="","","Alta"))))</f>
        <v/>
      </c>
      <c r="G25" s="7">
        <f>CONCATENATE(B25,I25)</f>
        <v/>
      </c>
      <c r="H25" s="5">
        <f>IF(ISBLANK(B25),"",IF(B25="ALI",IF(I25="L",7,IF(I25="A",10,15)),IF(B25="AIE",IF(I25="L",5,IF(I25="A",7,10)),IF(B25="SE",IF(I25="L",4,IF(I25="A",5,7)),IF(OR(B25="EE",B25="CE"),IF(I25="L",3,IF(I25="A",4,6)),0)))))</f>
        <v/>
      </c>
      <c r="I25" s="110">
        <f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/>
      </c>
      <c r="J25" s="7">
        <f>CONCATENATE(B25,C25)</f>
        <v/>
      </c>
      <c r="K25" s="9">
        <f>IF(OR(H25="",H25=0),L25,H25)</f>
        <v/>
      </c>
      <c r="L25" s="9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 t="n"/>
      <c r="N25" s="115" t="n"/>
      <c r="O25" s="6" t="n"/>
    </row>
    <row r="26">
      <c r="A26" s="118" t="n"/>
      <c r="B26" s="4" t="n"/>
      <c r="C26" s="4" t="n"/>
      <c r="D26" s="7" t="n"/>
      <c r="E26" s="7" t="n"/>
      <c r="F26" s="8">
        <f>IF(ISBLANK(B26),"",IF(I26="L","Baixa",IF(I26="A","Média",IF(I26="","","Alta"))))</f>
        <v/>
      </c>
      <c r="G26" s="7">
        <f>CONCATENATE(B26,I26)</f>
        <v/>
      </c>
      <c r="H26" s="5">
        <f>IF(ISBLANK(B26),"",IF(B26="ALI",IF(I26="L",7,IF(I26="A",10,15)),IF(B26="AIE",IF(I26="L",5,IF(I26="A",7,10)),IF(B26="SE",IF(I26="L",4,IF(I26="A",5,7)),IF(OR(B26="EE",B26="CE"),IF(I26="L",3,IF(I26="A",4,6)),0)))))</f>
        <v/>
      </c>
      <c r="I26" s="110">
        <f>IF(OR(ISBLANK(D26),ISBLANK(E26)),IF(OR(B26="ALI",B26="AIE"),"L",IF(OR(B26="EE",B26="SE",B26="CE"),"A","")),IF(B26="EE",IF(E26&gt;=3,IF(D26&gt;=5,"H","A"),IF(E26&gt;=2,IF(D26&gt;=16,"H",IF(D26&lt;=4,"L","A")),IF(D26&lt;=15,"L","A"))),IF(OR(B26="SE",B26="CE"),IF(E26&gt;=4,IF(D26&gt;=6,"H","A"),IF(E26&gt;=2,IF(D26&gt;=20,"H",IF(D26&lt;=5,"L","A")),IF(D26&lt;=19,"L","A"))),IF(OR(B26="ALI",B26="AIE"),IF(E26&gt;=6,IF(D26&gt;=20,"H","A"),IF(E26&gt;=2,IF(D26&gt;=51,"H",IF(D26&lt;=19,"L","A")),IF(D26&lt;=50,"L","A"))),""))))</f>
        <v/>
      </c>
      <c r="J26" s="7">
        <f>CONCATENATE(B26,C26)</f>
        <v/>
      </c>
      <c r="K26" s="9">
        <f>IF(OR(H26="",H26=0),L26,H26)</f>
        <v/>
      </c>
      <c r="L26" s="9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 t="n"/>
      <c r="N26" s="115" t="n"/>
      <c r="O26" s="6" t="n"/>
    </row>
    <row r="27">
      <c r="A27" s="112" t="n"/>
      <c r="B27" s="4" t="n"/>
      <c r="C27" s="4" t="n"/>
      <c r="D27" s="7" t="n"/>
      <c r="E27" s="7" t="n"/>
      <c r="F27" s="8">
        <f>IF(ISBLANK(B27),"",IF(I27="L","Baixa",IF(I27="A","Média",IF(I27="","","Alta"))))</f>
        <v/>
      </c>
      <c r="G27" s="7">
        <f>CONCATENATE(B27,I27)</f>
        <v/>
      </c>
      <c r="H27" s="5">
        <f>IF(ISBLANK(B27),"",IF(B27="ALI",IF(I27="L",7,IF(I27="A",10,15)),IF(B27="AIE",IF(I27="L",5,IF(I27="A",7,10)),IF(B27="SE",IF(I27="L",4,IF(I27="A",5,7)),IF(OR(B27="EE",B27="CE"),IF(I27="L",3,IF(I27="A",4,6)),0)))))</f>
        <v/>
      </c>
      <c r="I27" s="110">
        <f>IF(OR(ISBLANK(D27),ISBLANK(E27)),IF(OR(B27="ALI",B27="AIE"),"L",IF(OR(B27="EE",B27="SE",B27="CE"),"A","")),IF(B27="EE",IF(E27&gt;=3,IF(D27&gt;=5,"H","A"),IF(E27&gt;=2,IF(D27&gt;=16,"H",IF(D27&lt;=4,"L","A")),IF(D27&lt;=15,"L","A"))),IF(OR(B27="SE",B27="CE"),IF(E27&gt;=4,IF(D27&gt;=6,"H","A"),IF(E27&gt;=2,IF(D27&gt;=20,"H",IF(D27&lt;=5,"L","A")),IF(D27&lt;=19,"L","A"))),IF(OR(B27="ALI",B27="AIE"),IF(E27&gt;=6,IF(D27&gt;=20,"H","A"),IF(E27&gt;=2,IF(D27&gt;=51,"H",IF(D27&lt;=19,"L","A")),IF(D27&lt;=50,"L","A"))),""))))</f>
        <v/>
      </c>
      <c r="J27" s="7">
        <f>CONCATENATE(B27,C27)</f>
        <v/>
      </c>
      <c r="K27" s="9">
        <f>IF(OR(H27="",H27=0),L27,H27)</f>
        <v/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/>
      </c>
      <c r="M27" s="10" t="n"/>
      <c r="N27" s="115" t="n"/>
      <c r="O27" s="6" t="n"/>
    </row>
    <row r="28">
      <c r="A28" s="112" t="n"/>
      <c r="B28" s="4" t="n"/>
      <c r="C28" s="4" t="n"/>
      <c r="D28" s="7" t="n"/>
      <c r="E28" s="7" t="n"/>
      <c r="F28" s="8">
        <f>IF(ISBLANK(B28),"",IF(I28="L","Baixa",IF(I28="A","Média",IF(I28="","","Alta"))))</f>
        <v/>
      </c>
      <c r="G28" s="7">
        <f>CONCATENATE(B28,I28)</f>
        <v/>
      </c>
      <c r="H28" s="5">
        <f>IF(ISBLANK(B28),"",IF(B28="ALI",IF(I28="L",7,IF(I28="A",10,15)),IF(B28="AIE",IF(I28="L",5,IF(I28="A",7,10)),IF(B28="SE",IF(I28="L",4,IF(I28="A",5,7)),IF(OR(B28="EE",B28="CE"),IF(I28="L",3,IF(I28="A",4,6)),0)))))</f>
        <v/>
      </c>
      <c r="I28" s="110">
        <f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/>
      </c>
      <c r="J28" s="7">
        <f>CONCATENATE(B28,C28)</f>
        <v/>
      </c>
      <c r="K28" s="9">
        <f>IF(OR(H28="",H28=0),L28,H28)</f>
        <v/>
      </c>
      <c r="L28" s="9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 t="n"/>
      <c r="N28" s="115" t="n"/>
      <c r="O28" s="6" t="n"/>
    </row>
    <row r="29">
      <c r="A29" s="118" t="n"/>
      <c r="B29" s="4" t="n"/>
      <c r="C29" s="4" t="n"/>
      <c r="D29" s="7" t="n"/>
      <c r="E29" s="7" t="n"/>
      <c r="F29" s="8">
        <f>IF(ISBLANK(B29),"",IF(I29="L","Baixa",IF(I29="A","Média",IF(I29="","","Alta"))))</f>
        <v/>
      </c>
      <c r="G29" s="7">
        <f>CONCATENATE(B29,I29)</f>
        <v/>
      </c>
      <c r="H29" s="5">
        <f>IF(ISBLANK(B29),"",IF(B29="ALI",IF(I29="L",7,IF(I29="A",10,15)),IF(B29="AIE",IF(I29="L",5,IF(I29="A",7,10)),IF(B29="SE",IF(I29="L",4,IF(I29="A",5,7)),IF(OR(B29="EE",B29="CE"),IF(I29="L",3,IF(I29="A",4,6)),0)))))</f>
        <v/>
      </c>
      <c r="I29" s="110">
        <f>IF(OR(ISBLANK(D29),ISBLANK(E29)),IF(OR(B29="ALI",B29="AIE"),"L",IF(OR(B29="EE",B29="SE",B29="CE"),"A","")),IF(B29="EE",IF(E29&gt;=3,IF(D29&gt;=5,"H","A"),IF(E29&gt;=2,IF(D29&gt;=16,"H",IF(D29&lt;=4,"L","A")),IF(D29&lt;=15,"L","A"))),IF(OR(B29="SE",B29="CE"),IF(E29&gt;=4,IF(D29&gt;=6,"H","A"),IF(E29&gt;=2,IF(D29&gt;=20,"H",IF(D29&lt;=5,"L","A")),IF(D29&lt;=19,"L","A"))),IF(OR(B29="ALI",B29="AIE"),IF(E29&gt;=6,IF(D29&gt;=20,"H","A"),IF(E29&gt;=2,IF(D29&gt;=51,"H",IF(D29&lt;=19,"L","A")),IF(D29&lt;=50,"L","A"))),""))))</f>
        <v/>
      </c>
      <c r="J29" s="7">
        <f>CONCATENATE(B29,C29)</f>
        <v/>
      </c>
      <c r="K29" s="9">
        <f>IF(OR(H29="",H29=0),L29,H29)</f>
        <v/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/>
      </c>
      <c r="M29" s="10" t="n"/>
      <c r="N29" s="115" t="n"/>
      <c r="O29" s="6" t="n"/>
    </row>
    <row r="30">
      <c r="A30" s="118" t="n"/>
      <c r="B30" s="4" t="n"/>
      <c r="C30" s="4" t="n"/>
      <c r="D30" s="7" t="n"/>
      <c r="E30" s="7" t="n"/>
      <c r="F30" s="8">
        <f>IF(ISBLANK(B30),"",IF(I30="L","Baixa",IF(I30="A","Média",IF(I30="","","Alta"))))</f>
        <v/>
      </c>
      <c r="G30" s="7">
        <f>CONCATENATE(B30,I30)</f>
        <v/>
      </c>
      <c r="H30" s="5">
        <f>IF(ISBLANK(B30),"",IF(B30="ALI",IF(I30="L",7,IF(I30="A",10,15)),IF(B30="AIE",IF(I30="L",5,IF(I30="A",7,10)),IF(B30="SE",IF(I30="L",4,IF(I30="A",5,7)),IF(OR(B30="EE",B30="CE"),IF(I30="L",3,IF(I30="A",4,6)),0)))))</f>
        <v/>
      </c>
      <c r="I30" s="110">
        <f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/>
      </c>
      <c r="J30" s="7">
        <f>CONCATENATE(B30,C30)</f>
        <v/>
      </c>
      <c r="K30" s="9">
        <f>IF(OR(H30="",H30=0),L30,H30)</f>
        <v/>
      </c>
      <c r="L30" s="9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 t="n"/>
      <c r="N30" s="115" t="n"/>
      <c r="O30" s="6" t="n"/>
    </row>
    <row r="31">
      <c r="A31" s="118" t="n"/>
      <c r="B31" s="4" t="n"/>
      <c r="C31" s="4" t="n"/>
      <c r="D31" s="7" t="n"/>
      <c r="E31" s="7" t="n"/>
      <c r="F31" s="8">
        <f>IF(ISBLANK(B31),"",IF(I31="L","Baixa",IF(I31="A","Média",IF(I31="","","Alta"))))</f>
        <v/>
      </c>
      <c r="G31" s="7">
        <f>CONCATENATE(B31,I31)</f>
        <v/>
      </c>
      <c r="H31" s="5">
        <f>IF(ISBLANK(B31),"",IF(B31="ALI",IF(I31="L",7,IF(I31="A",10,15)),IF(B31="AIE",IF(I31="L",5,IF(I31="A",7,10)),IF(B31="SE",IF(I31="L",4,IF(I31="A",5,7)),IF(OR(B31="EE",B31="CE"),IF(I31="L",3,IF(I31="A",4,6)),0)))))</f>
        <v/>
      </c>
      <c r="I31" s="110">
        <f>IF(OR(ISBLANK(D31),ISBLANK(E31)),IF(OR(B31="ALI",B31="AIE"),"L",IF(OR(B31="EE",B31="SE",B31="CE"),"A","")),IF(B31="EE",IF(E31&gt;=3,IF(D31&gt;=5,"H","A"),IF(E31&gt;=2,IF(D31&gt;=16,"H",IF(D31&lt;=4,"L","A")),IF(D31&lt;=15,"L","A"))),IF(OR(B31="SE",B31="CE"),IF(E31&gt;=4,IF(D31&gt;=6,"H","A"),IF(E31&gt;=2,IF(D31&gt;=20,"H",IF(D31&lt;=5,"L","A")),IF(D31&lt;=19,"L","A"))),IF(OR(B31="ALI",B31="AIE"),IF(E31&gt;=6,IF(D31&gt;=20,"H","A"),IF(E31&gt;=2,IF(D31&gt;=51,"H",IF(D31&lt;=19,"L","A")),IF(D31&lt;=50,"L","A"))),""))))</f>
        <v/>
      </c>
      <c r="J31" s="7">
        <f>CONCATENATE(B31,C31)</f>
        <v/>
      </c>
      <c r="K31" s="9">
        <f>IF(OR(H31="",H31=0),L31,H31)</f>
        <v/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/>
      </c>
      <c r="M31" s="10" t="n"/>
      <c r="N31" s="115" t="n"/>
      <c r="O31" s="6" t="n"/>
    </row>
    <row r="32">
      <c r="A32" s="112" t="n"/>
      <c r="B32" s="4" t="n"/>
      <c r="C32" s="4" t="n"/>
      <c r="D32" s="7" t="n"/>
      <c r="E32" s="7" t="n"/>
      <c r="F32" s="8">
        <f>IF(ISBLANK(B32),"",IF(I32="L","Baixa",IF(I32="A","Média",IF(I32="","","Alta"))))</f>
        <v/>
      </c>
      <c r="G32" s="7">
        <f>CONCATENATE(B32,I32)</f>
        <v/>
      </c>
      <c r="H32" s="5">
        <f>IF(ISBLANK(B32),"",IF(B32="ALI",IF(I32="L",7,IF(I32="A",10,15)),IF(B32="AIE",IF(I32="L",5,IF(I32="A",7,10)),IF(B32="SE",IF(I32="L",4,IF(I32="A",5,7)),IF(OR(B32="EE",B32="CE"),IF(I32="L",3,IF(I32="A",4,6)),0)))))</f>
        <v/>
      </c>
      <c r="I32" s="110">
        <f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/>
      </c>
      <c r="J32" s="7">
        <f>CONCATENATE(B32,C32)</f>
        <v/>
      </c>
      <c r="K32" s="9">
        <f>IF(OR(H32="",H32=0),L32,H32)</f>
        <v/>
      </c>
      <c r="L32" s="9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 t="n"/>
      <c r="N32" s="115" t="n"/>
      <c r="O32" s="6" t="n"/>
    </row>
    <row r="33">
      <c r="A33" s="118" t="n"/>
      <c r="B33" s="4" t="n"/>
      <c r="C33" s="4" t="n"/>
      <c r="D33" s="7" t="n"/>
      <c r="E33" s="7" t="n"/>
      <c r="F33" s="8">
        <f>IF(ISBLANK(B33),"",IF(I33="L","Baixa",IF(I33="A","Média",IF(I33="","","Alta"))))</f>
        <v/>
      </c>
      <c r="G33" s="7">
        <f>CONCATENATE(B33,I33)</f>
        <v/>
      </c>
      <c r="H33" s="5">
        <f>IF(ISBLANK(B33),"",IF(B33="ALI",IF(I33="L",7,IF(I33="A",10,15)),IF(B33="AIE",IF(I33="L",5,IF(I33="A",7,10)),IF(B33="SE",IF(I33="L",4,IF(I33="A",5,7)),IF(OR(B33="EE",B33="CE"),IF(I33="L",3,IF(I33="A",4,6)),0)))))</f>
        <v/>
      </c>
      <c r="I33" s="110">
        <f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/>
      </c>
      <c r="J33" s="7">
        <f>CONCATENATE(B33,C33)</f>
        <v/>
      </c>
      <c r="K33" s="9">
        <f>IF(OR(H33="",H33=0),L33,H33)</f>
        <v/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10" t="n"/>
      <c r="N33" s="115" t="n"/>
      <c r="O33" s="6" t="n"/>
    </row>
    <row r="34">
      <c r="A34" s="118" t="n"/>
      <c r="B34" s="4" t="n"/>
      <c r="C34" s="4" t="n"/>
      <c r="D34" s="7" t="n"/>
      <c r="E34" s="7" t="n"/>
      <c r="F34" s="8">
        <f>IF(ISBLANK(B34),"",IF(I34="L","Baixa",IF(I34="A","Média",IF(I34="","","Alta"))))</f>
        <v/>
      </c>
      <c r="G34" s="7">
        <f>CONCATENATE(B34,I34)</f>
        <v/>
      </c>
      <c r="H34" s="5">
        <f>IF(ISBLANK(B34),"",IF(B34="ALI",IF(I34="L",7,IF(I34="A",10,15)),IF(B34="AIE",IF(I34="L",5,IF(I34="A",7,10)),IF(B34="SE",IF(I34="L",4,IF(I34="A",5,7)),IF(OR(B34="EE",B34="CE"),IF(I34="L",3,IF(I34="A",4,6)),0)))))</f>
        <v/>
      </c>
      <c r="I34" s="110">
        <f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/>
      </c>
      <c r="J34" s="7">
        <f>CONCATENATE(B34,C34)</f>
        <v/>
      </c>
      <c r="K34" s="9">
        <f>IF(OR(H34="",H34=0),L34,H34)</f>
        <v/>
      </c>
      <c r="L34" s="9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 t="n"/>
      <c r="N34" s="115" t="n"/>
      <c r="O34" s="6" t="n"/>
    </row>
    <row r="35">
      <c r="A35" s="118" t="n"/>
      <c r="B35" s="4" t="n"/>
      <c r="C35" s="4" t="n"/>
      <c r="D35" s="7" t="n"/>
      <c r="E35" s="7" t="n"/>
      <c r="F35" s="8">
        <f>IF(ISBLANK(B35),"",IF(I35="L","Baixa",IF(I35="A","Média",IF(I35="","","Alta"))))</f>
        <v/>
      </c>
      <c r="G35" s="7">
        <f>CONCATENATE(B35,I35)</f>
        <v/>
      </c>
      <c r="H35" s="5">
        <f>IF(ISBLANK(B35),"",IF(B35="ALI",IF(I35="L",7,IF(I35="A",10,15)),IF(B35="AIE",IF(I35="L",5,IF(I35="A",7,10)),IF(B35="SE",IF(I35="L",4,IF(I35="A",5,7)),IF(OR(B35="EE",B35="CE"),IF(I35="L",3,IF(I35="A",4,6)),0)))))</f>
        <v/>
      </c>
      <c r="I35" s="110">
        <f>IF(OR(ISBLANK(D35),ISBLANK(E35)),IF(OR(B35="ALI",B35="AIE"),"L",IF(OR(B35="EE",B35="SE",B35="CE"),"A","")),IF(B35="EE",IF(E35&gt;=3,IF(D35&gt;=5,"H","A"),IF(E35&gt;=2,IF(D35&gt;=16,"H",IF(D35&lt;=4,"L","A")),IF(D35&lt;=15,"L","A"))),IF(OR(B35="SE",B35="CE"),IF(E35&gt;=4,IF(D35&gt;=6,"H","A"),IF(E35&gt;=2,IF(D35&gt;=20,"H",IF(D35&lt;=5,"L","A")),IF(D35&lt;=19,"L","A"))),IF(OR(B35="ALI",B35="AIE"),IF(E35&gt;=6,IF(D35&gt;=20,"H","A"),IF(E35&gt;=2,IF(D35&gt;=51,"H",IF(D35&lt;=19,"L","A")),IF(D35&lt;=50,"L","A"))),""))))</f>
        <v/>
      </c>
      <c r="J35" s="7">
        <f>CONCATENATE(B35,C35)</f>
        <v/>
      </c>
      <c r="K35" s="9">
        <f>IF(OR(H35="",H35=0),L35,H35)</f>
        <v/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10" t="n"/>
      <c r="N35" s="115" t="n"/>
      <c r="O35" s="6" t="n"/>
    </row>
    <row r="36">
      <c r="A36" s="118" t="n"/>
      <c r="B36" s="4" t="n"/>
      <c r="C36" s="4" t="n"/>
      <c r="D36" s="7" t="n"/>
      <c r="E36" s="7" t="n"/>
      <c r="F36" s="8">
        <f>IF(ISBLANK(B36),"",IF(I36="L","Baixa",IF(I36="A","Média",IF(I36="","","Alta"))))</f>
        <v/>
      </c>
      <c r="G36" s="7">
        <f>CONCATENATE(B36,I36)</f>
        <v/>
      </c>
      <c r="H36" s="5">
        <f>IF(ISBLANK(B36),"",IF(B36="ALI",IF(I36="L",7,IF(I36="A",10,15)),IF(B36="AIE",IF(I36="L",5,IF(I36="A",7,10)),IF(B36="SE",IF(I36="L",4,IF(I36="A",5,7)),IF(OR(B36="EE",B36="CE"),IF(I36="L",3,IF(I36="A",4,6)),0)))))</f>
        <v/>
      </c>
      <c r="I36" s="110">
        <f>IF(OR(ISBLANK(D36),ISBLANK(E36)),IF(OR(B36="ALI",B36="AIE"),"L",IF(OR(B36="EE",B36="SE",B36="CE"),"A","")),IF(B36="EE",IF(E36&gt;=3,IF(D36&gt;=5,"H","A"),IF(E36&gt;=2,IF(D36&gt;=16,"H",IF(D36&lt;=4,"L","A")),IF(D36&lt;=15,"L","A"))),IF(OR(B36="SE",B36="CE"),IF(E36&gt;=4,IF(D36&gt;=6,"H","A"),IF(E36&gt;=2,IF(D36&gt;=20,"H",IF(D36&lt;=5,"L","A")),IF(D36&lt;=19,"L","A"))),IF(OR(B36="ALI",B36="AIE"),IF(E36&gt;=6,IF(D36&gt;=20,"H","A"),IF(E36&gt;=2,IF(D36&gt;=51,"H",IF(D36&lt;=19,"L","A")),IF(D36&lt;=50,"L","A"))),""))))</f>
        <v/>
      </c>
      <c r="J36" s="7">
        <f>CONCATENATE(B36,C36)</f>
        <v/>
      </c>
      <c r="K36" s="9">
        <f>IF(OR(H36="",H36=0),L36,H36)</f>
        <v/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 t="n"/>
      <c r="N36" s="115" t="n"/>
      <c r="O36" s="6" t="n"/>
    </row>
    <row r="37">
      <c r="A37" s="118" t="n"/>
      <c r="B37" s="4" t="n"/>
      <c r="C37" s="4" t="n"/>
      <c r="D37" s="7" t="n"/>
      <c r="E37" s="7" t="n"/>
      <c r="F37" s="8">
        <f>IF(ISBLANK(B37),"",IF(I37="L","Baixa",IF(I37="A","Média",IF(I37="","","Alta"))))</f>
        <v/>
      </c>
      <c r="G37" s="7">
        <f>CONCATENATE(B37,I37)</f>
        <v/>
      </c>
      <c r="H37" s="5">
        <f>IF(ISBLANK(B37),"",IF(B37="ALI",IF(I37="L",7,IF(I37="A",10,15)),IF(B37="AIE",IF(I37="L",5,IF(I37="A",7,10)),IF(B37="SE",IF(I37="L",4,IF(I37="A",5,7)),IF(OR(B37="EE",B37="CE"),IF(I37="L",3,IF(I37="A",4,6)),0)))))</f>
        <v/>
      </c>
      <c r="I37" s="110">
        <f>IF(OR(ISBLANK(D37),ISBLANK(E37)),IF(OR(B37="ALI",B37="AIE"),"L",IF(OR(B37="EE",B37="SE",B37="CE"),"A","")),IF(B37="EE",IF(E37&gt;=3,IF(D37&gt;=5,"H","A"),IF(E37&gt;=2,IF(D37&gt;=16,"H",IF(D37&lt;=4,"L","A")),IF(D37&lt;=15,"L","A"))),IF(OR(B37="SE",B37="CE"),IF(E37&gt;=4,IF(D37&gt;=6,"H","A"),IF(E37&gt;=2,IF(D37&gt;=20,"H",IF(D37&lt;=5,"L","A")),IF(D37&lt;=19,"L","A"))),IF(OR(B37="ALI",B37="AIE"),IF(E37&gt;=6,IF(D37&gt;=20,"H","A"),IF(E37&gt;=2,IF(D37&gt;=51,"H",IF(D37&lt;=19,"L","A")),IF(D37&lt;=50,"L","A"))),""))))</f>
        <v/>
      </c>
      <c r="J37" s="7">
        <f>CONCATENATE(B37,C37)</f>
        <v/>
      </c>
      <c r="K37" s="9">
        <f>IF(OR(H37="",H37=0),L37,H37)</f>
        <v/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/>
      </c>
      <c r="M37" s="10" t="n"/>
      <c r="N37" s="115" t="n"/>
      <c r="O37" s="6" t="n"/>
    </row>
    <row r="38">
      <c r="A38" s="118" t="n"/>
      <c r="B38" s="4" t="n"/>
      <c r="C38" s="4" t="n"/>
      <c r="D38" s="7" t="n"/>
      <c r="E38" s="7" t="n"/>
      <c r="F38" s="8">
        <f>IF(ISBLANK(B38),"",IF(I38="L","Baixa",IF(I38="A","Média",IF(I38="","","Alta"))))</f>
        <v/>
      </c>
      <c r="G38" s="7">
        <f>CONCATENATE(B38,I38)</f>
        <v/>
      </c>
      <c r="H38" s="5">
        <f>IF(ISBLANK(B38),"",IF(B38="ALI",IF(I38="L",7,IF(I38="A",10,15)),IF(B38="AIE",IF(I38="L",5,IF(I38="A",7,10)),IF(B38="SE",IF(I38="L",4,IF(I38="A",5,7)),IF(OR(B38="EE",B38="CE"),IF(I38="L",3,IF(I38="A",4,6)),0)))))</f>
        <v/>
      </c>
      <c r="I38" s="110">
        <f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/>
      </c>
      <c r="J38" s="7">
        <f>CONCATENATE(B38,C38)</f>
        <v/>
      </c>
      <c r="K38" s="9">
        <f>IF(OR(H38="",H38=0),L38,H38)</f>
        <v/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10" t="n"/>
      <c r="N38" s="115" t="n"/>
      <c r="O38" s="6" t="n"/>
    </row>
    <row r="39">
      <c r="A39" s="112" t="n"/>
      <c r="B39" s="4" t="n"/>
      <c r="C39" s="4" t="n"/>
      <c r="D39" s="7" t="n"/>
      <c r="E39" s="7" t="n"/>
      <c r="F39" s="8">
        <f>IF(ISBLANK(B39),"",IF(I39="L","Baixa",IF(I39="A","Média",IF(I39="","","Alta"))))</f>
        <v/>
      </c>
      <c r="G39" s="7">
        <f>CONCATENATE(B39,I39)</f>
        <v/>
      </c>
      <c r="H39" s="5">
        <f>IF(ISBLANK(B39),"",IF(B39="ALI",IF(I39="L",7,IF(I39="A",10,15)),IF(B39="AIE",IF(I39="L",5,IF(I39="A",7,10)),IF(B39="SE",IF(I39="L",4,IF(I39="A",5,7)),IF(OR(B39="EE",B39="CE"),IF(I39="L",3,IF(I39="A",4,6)),0)))))</f>
        <v/>
      </c>
      <c r="I39" s="110">
        <f>IF(OR(ISBLANK(D39),ISBLANK(E39)),IF(OR(B39="ALI",B39="AIE"),"L",IF(OR(B39="EE",B39="SE",B39="CE"),"A","")),IF(B39="EE",IF(E39&gt;=3,IF(D39&gt;=5,"H","A"),IF(E39&gt;=2,IF(D39&gt;=16,"H",IF(D39&lt;=4,"L","A")),IF(D39&lt;=15,"L","A"))),IF(OR(B39="SE",B39="CE"),IF(E39&gt;=4,IF(D39&gt;=6,"H","A"),IF(E39&gt;=2,IF(D39&gt;=20,"H",IF(D39&lt;=5,"L","A")),IF(D39&lt;=19,"L","A"))),IF(OR(B39="ALI",B39="AIE"),IF(E39&gt;=6,IF(D39&gt;=20,"H","A"),IF(E39&gt;=2,IF(D39&gt;=51,"H",IF(D39&lt;=19,"L","A")),IF(D39&lt;=50,"L","A"))),""))))</f>
        <v/>
      </c>
      <c r="J39" s="7">
        <f>CONCATENATE(B39,C39)</f>
        <v/>
      </c>
      <c r="K39" s="9">
        <f>IF(OR(H39="",H39=0),L39,H39)</f>
        <v/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10" t="n"/>
      <c r="N39" s="115" t="n"/>
      <c r="O39" s="6" t="n"/>
    </row>
    <row r="40">
      <c r="A40" s="112" t="n"/>
      <c r="B40" s="4" t="n"/>
      <c r="C40" s="4" t="n"/>
      <c r="D40" s="7" t="n"/>
      <c r="E40" s="7" t="n"/>
      <c r="F40" s="8">
        <f>IF(ISBLANK(B40),"",IF(I40="L","Baixa",IF(I40="A","Média",IF(I40="","","Alta"))))</f>
        <v/>
      </c>
      <c r="G40" s="7">
        <f>CONCATENATE(B40,I40)</f>
        <v/>
      </c>
      <c r="H40" s="5">
        <f>IF(ISBLANK(B40),"",IF(B40="ALI",IF(I40="L",7,IF(I40="A",10,15)),IF(B40="AIE",IF(I40="L",5,IF(I40="A",7,10)),IF(B40="SE",IF(I40="L",4,IF(I40="A",5,7)),IF(OR(B40="EE",B40="CE"),IF(I40="L",3,IF(I40="A",4,6)),0)))))</f>
        <v/>
      </c>
      <c r="I40" s="110">
        <f>IF(OR(ISBLANK(D40),ISBLANK(E40)),IF(OR(B40="ALI",B40="AIE"),"L",IF(OR(B40="EE",B40="SE",B40="CE"),"A","")),IF(B40="EE",IF(E40&gt;=3,IF(D40&gt;=5,"H","A"),IF(E40&gt;=2,IF(D40&gt;=16,"H",IF(D40&lt;=4,"L","A")),IF(D40&lt;=15,"L","A"))),IF(OR(B40="SE",B40="CE"),IF(E40&gt;=4,IF(D40&gt;=6,"H","A"),IF(E40&gt;=2,IF(D40&gt;=20,"H",IF(D40&lt;=5,"L","A")),IF(D40&lt;=19,"L","A"))),IF(OR(B40="ALI",B40="AIE"),IF(E40&gt;=6,IF(D40&gt;=20,"H","A"),IF(E40&gt;=2,IF(D40&gt;=51,"H",IF(D40&lt;=19,"L","A")),IF(D40&lt;=50,"L","A"))),""))))</f>
        <v/>
      </c>
      <c r="J40" s="7">
        <f>CONCATENATE(B40,C40)</f>
        <v/>
      </c>
      <c r="K40" s="9">
        <f>IF(OR(H40="",H40=0),L40,H40)</f>
        <v/>
      </c>
      <c r="L40" s="9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 t="n"/>
      <c r="N40" s="115" t="n"/>
      <c r="O40" s="6" t="n"/>
    </row>
    <row r="41">
      <c r="A41" s="112" t="n"/>
      <c r="B41" s="4" t="n"/>
      <c r="C41" s="4" t="n"/>
      <c r="D41" s="7" t="n"/>
      <c r="E41" s="7" t="n"/>
      <c r="F41" s="8">
        <f>IF(ISBLANK(B41),"",IF(I41="L","Baixa",IF(I41="A","Média",IF(I41="","","Alta"))))</f>
        <v/>
      </c>
      <c r="G41" s="7">
        <f>CONCATENATE(B41,I41)</f>
        <v/>
      </c>
      <c r="H41" s="5">
        <f>IF(ISBLANK(B41),"",IF(B41="ALI",IF(I41="L",7,IF(I41="A",10,15)),IF(B41="AIE",IF(I41="L",5,IF(I41="A",7,10)),IF(B41="SE",IF(I41="L",4,IF(I41="A",5,7)),IF(OR(B41="EE",B41="CE"),IF(I41="L",3,IF(I41="A",4,6)),0)))))</f>
        <v/>
      </c>
      <c r="I41" s="110">
        <f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/>
      </c>
      <c r="J41" s="7">
        <f>CONCATENATE(B41,C41)</f>
        <v/>
      </c>
      <c r="K41" s="9">
        <f>IF(OR(H41="",H41=0),L41,H41)</f>
        <v/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10" t="n"/>
      <c r="N41" s="115" t="n"/>
      <c r="O41" s="6" t="n"/>
    </row>
    <row r="42">
      <c r="A42" s="112" t="n"/>
      <c r="B42" s="4" t="n"/>
      <c r="C42" s="4" t="n"/>
      <c r="D42" s="7" t="n"/>
      <c r="E42" s="7" t="n"/>
      <c r="F42" s="8">
        <f>IF(ISBLANK(B42),"",IF(I42="L","Baixa",IF(I42="A","Média",IF(I42="","","Alta"))))</f>
        <v/>
      </c>
      <c r="G42" s="7">
        <f>CONCATENATE(B42,I42)</f>
        <v/>
      </c>
      <c r="H42" s="5">
        <f>IF(ISBLANK(B42),"",IF(B42="ALI",IF(I42="L",7,IF(I42="A",10,15)),IF(B42="AIE",IF(I42="L",5,IF(I42="A",7,10)),IF(B42="SE",IF(I42="L",4,IF(I42="A",5,7)),IF(OR(B42="EE",B42="CE"),IF(I42="L",3,IF(I42="A",4,6)),0)))))</f>
        <v/>
      </c>
      <c r="I42" s="110">
        <f>IF(OR(ISBLANK(D42),ISBLANK(E42)),IF(OR(B42="ALI",B42="AIE"),"L",IF(OR(B42="EE",B42="SE",B42="CE"),"A","")),IF(B42="EE",IF(E42&gt;=3,IF(D42&gt;=5,"H","A"),IF(E42&gt;=2,IF(D42&gt;=16,"H",IF(D42&lt;=4,"L","A")),IF(D42&lt;=15,"L","A"))),IF(OR(B42="SE",B42="CE"),IF(E42&gt;=4,IF(D42&gt;=6,"H","A"),IF(E42&gt;=2,IF(D42&gt;=20,"H",IF(D42&lt;=5,"L","A")),IF(D42&lt;=19,"L","A"))),IF(OR(B42="ALI",B42="AIE"),IF(E42&gt;=6,IF(D42&gt;=20,"H","A"),IF(E42&gt;=2,IF(D42&gt;=51,"H",IF(D42&lt;=19,"L","A")),IF(D42&lt;=50,"L","A"))),""))))</f>
        <v/>
      </c>
      <c r="J42" s="7">
        <f>CONCATENATE(B42,C42)</f>
        <v/>
      </c>
      <c r="K42" s="9">
        <f>IF(OR(H42="",H42=0),L42,H42)</f>
        <v/>
      </c>
      <c r="L42" s="9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 t="n"/>
      <c r="N42" s="115" t="n"/>
      <c r="O42" s="6" t="n"/>
    </row>
    <row r="43">
      <c r="A43" s="112" t="n"/>
      <c r="B43" s="4" t="n"/>
      <c r="C43" s="4" t="n"/>
      <c r="D43" s="7" t="n"/>
      <c r="E43" s="7" t="n"/>
      <c r="F43" s="8">
        <f>IF(ISBLANK(B43),"",IF(I43="L","Baixa",IF(I43="A","Média",IF(I43="","","Alta"))))</f>
        <v/>
      </c>
      <c r="G43" s="7">
        <f>CONCATENATE(B43,I43)</f>
        <v/>
      </c>
      <c r="H43" s="5">
        <f>IF(ISBLANK(B43),"",IF(B43="ALI",IF(I43="L",7,IF(I43="A",10,15)),IF(B43="AIE",IF(I43="L",5,IF(I43="A",7,10)),IF(B43="SE",IF(I43="L",4,IF(I43="A",5,7)),IF(OR(B43="EE",B43="CE"),IF(I43="L",3,IF(I43="A",4,6)),0)))))</f>
        <v/>
      </c>
      <c r="I43" s="110">
        <f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/>
      </c>
      <c r="J43" s="7">
        <f>CONCATENATE(B43,C43)</f>
        <v/>
      </c>
      <c r="K43" s="9">
        <f>IF(OR(H43="",H43=0),L43,H43)</f>
        <v/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10" t="n"/>
      <c r="N43" s="115" t="n"/>
      <c r="O43" s="6" t="n"/>
    </row>
    <row r="44">
      <c r="A44" s="112" t="n"/>
      <c r="B44" s="4" t="n"/>
      <c r="C44" s="4" t="n"/>
      <c r="D44" s="7" t="n"/>
      <c r="E44" s="7" t="n"/>
      <c r="F44" s="8">
        <f>IF(ISBLANK(B44),"",IF(I44="L","Baixa",IF(I44="A","Média",IF(I44="","","Alta"))))</f>
        <v/>
      </c>
      <c r="G44" s="7">
        <f>CONCATENATE(B44,I44)</f>
        <v/>
      </c>
      <c r="H44" s="5">
        <f>IF(ISBLANK(B44),"",IF(B44="ALI",IF(I44="L",7,IF(I44="A",10,15)),IF(B44="AIE",IF(I44="L",5,IF(I44="A",7,10)),IF(B44="SE",IF(I44="L",4,IF(I44="A",5,7)),IF(OR(B44="EE",B44="CE"),IF(I44="L",3,IF(I44="A",4,6)),0)))))</f>
        <v/>
      </c>
      <c r="I44" s="110">
        <f>IF(OR(ISBLANK(D44),ISBLANK(E44)),IF(OR(B44="ALI",B44="AIE"),"L",IF(OR(B44="EE",B44="SE",B44="CE"),"A","")),IF(B44="EE",IF(E44&gt;=3,IF(D44&gt;=5,"H","A"),IF(E44&gt;=2,IF(D44&gt;=16,"H",IF(D44&lt;=4,"L","A")),IF(D44&lt;=15,"L","A"))),IF(OR(B44="SE",B44="CE"),IF(E44&gt;=4,IF(D44&gt;=6,"H","A"),IF(E44&gt;=2,IF(D44&gt;=20,"H",IF(D44&lt;=5,"L","A")),IF(D44&lt;=19,"L","A"))),IF(OR(B44="ALI",B44="AIE"),IF(E44&gt;=6,IF(D44&gt;=20,"H","A"),IF(E44&gt;=2,IF(D44&gt;=51,"H",IF(D44&lt;=19,"L","A")),IF(D44&lt;=50,"L","A"))),""))))</f>
        <v/>
      </c>
      <c r="J44" s="7">
        <f>CONCATENATE(B44,C44)</f>
        <v/>
      </c>
      <c r="K44" s="9">
        <f>IF(OR(H44="",H44=0),L44,H44)</f>
        <v/>
      </c>
      <c r="L44" s="9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 t="n"/>
      <c r="N44" s="115" t="n"/>
      <c r="O44" s="6" t="n"/>
    </row>
    <row r="45">
      <c r="A45" s="112" t="n"/>
      <c r="B45" s="4" t="n"/>
      <c r="C45" s="4" t="n"/>
      <c r="D45" s="7" t="n"/>
      <c r="E45" s="7" t="n"/>
      <c r="F45" s="8">
        <f>IF(ISBLANK(B45),"",IF(I45="L","Baixa",IF(I45="A","Média",IF(I45="","","Alta"))))</f>
        <v/>
      </c>
      <c r="G45" s="7">
        <f>CONCATENATE(B45,I45)</f>
        <v/>
      </c>
      <c r="H45" s="5">
        <f>IF(ISBLANK(B45),"",IF(B45="ALI",IF(I45="L",7,IF(I45="A",10,15)),IF(B45="AIE",IF(I45="L",5,IF(I45="A",7,10)),IF(B45="SE",IF(I45="L",4,IF(I45="A",5,7)),IF(OR(B45="EE",B45="CE"),IF(I45="L",3,IF(I45="A",4,6)),0)))))</f>
        <v/>
      </c>
      <c r="I45" s="110">
        <f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/>
      </c>
      <c r="J45" s="7">
        <f>CONCATENATE(B45,C45)</f>
        <v/>
      </c>
      <c r="K45" s="9">
        <f>IF(OR(H45="",H45=0),L45,H45)</f>
        <v/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/>
      </c>
      <c r="M45" s="10" t="n"/>
      <c r="N45" s="115" t="n"/>
      <c r="O45" s="6" t="n"/>
    </row>
    <row r="46">
      <c r="A46" s="112" t="n"/>
      <c r="B46" s="4" t="n"/>
      <c r="C46" s="4" t="n"/>
      <c r="D46" s="7" t="n"/>
      <c r="E46" s="7" t="n"/>
      <c r="F46" s="8">
        <f>IF(ISBLANK(B46),"",IF(I46="L","Baixa",IF(I46="A","Média",IF(I46="","","Alta"))))</f>
        <v/>
      </c>
      <c r="G46" s="7">
        <f>CONCATENATE(B46,I46)</f>
        <v/>
      </c>
      <c r="H46" s="5">
        <f>IF(ISBLANK(B46),"",IF(B46="ALI",IF(I46="L",7,IF(I46="A",10,15)),IF(B46="AIE",IF(I46="L",5,IF(I46="A",7,10)),IF(B46="SE",IF(I46="L",4,IF(I46="A",5,7)),IF(OR(B46="EE",B46="CE"),IF(I46="L",3,IF(I46="A",4,6)),0)))))</f>
        <v/>
      </c>
      <c r="I46" s="110">
        <f>IF(OR(ISBLANK(D46),ISBLANK(E46)),IF(OR(B46="ALI",B46="AIE"),"L",IF(OR(B46="EE",B46="SE",B46="CE"),"A","")),IF(B46="EE",IF(E46&gt;=3,IF(D46&gt;=5,"H","A"),IF(E46&gt;=2,IF(D46&gt;=16,"H",IF(D46&lt;=4,"L","A")),IF(D46&lt;=15,"L","A"))),IF(OR(B46="SE",B46="CE"),IF(E46&gt;=4,IF(D46&gt;=6,"H","A"),IF(E46&gt;=2,IF(D46&gt;=20,"H",IF(D46&lt;=5,"L","A")),IF(D46&lt;=19,"L","A"))),IF(OR(B46="ALI",B46="AIE"),IF(E46&gt;=6,IF(D46&gt;=20,"H","A"),IF(E46&gt;=2,IF(D46&gt;=51,"H",IF(D46&lt;=19,"L","A")),IF(D46&lt;=50,"L","A"))),""))))</f>
        <v/>
      </c>
      <c r="J46" s="7">
        <f>CONCATENATE(B46,C46)</f>
        <v/>
      </c>
      <c r="K46" s="9">
        <f>IF(OR(H46="",H46=0),L46,H46)</f>
        <v/>
      </c>
      <c r="L46" s="9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 t="n"/>
      <c r="N46" s="115" t="n"/>
      <c r="O46" s="6" t="n"/>
    </row>
    <row r="47">
      <c r="A47" s="112" t="n"/>
      <c r="B47" s="4" t="n"/>
      <c r="C47" s="4" t="n"/>
      <c r="D47" s="7" t="n"/>
      <c r="E47" s="7" t="n"/>
      <c r="F47" s="8">
        <f>IF(ISBLANK(B47),"",IF(I47="L","Baixa",IF(I47="A","Média",IF(I47="","","Alta"))))</f>
        <v/>
      </c>
      <c r="G47" s="7">
        <f>CONCATENATE(B47,I47)</f>
        <v/>
      </c>
      <c r="H47" s="5">
        <f>IF(ISBLANK(B47),"",IF(B47="ALI",IF(I47="L",7,IF(I47="A",10,15)),IF(B47="AIE",IF(I47="L",5,IF(I47="A",7,10)),IF(B47="SE",IF(I47="L",4,IF(I47="A",5,7)),IF(OR(B47="EE",B47="CE"),IF(I47="L",3,IF(I47="A",4,6)),0)))))</f>
        <v/>
      </c>
      <c r="I47" s="110">
        <f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/>
      </c>
      <c r="J47" s="7">
        <f>CONCATENATE(B47,C47)</f>
        <v/>
      </c>
      <c r="K47" s="9">
        <f>IF(OR(H47="",H47=0),L47,H47)</f>
        <v/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10" t="n"/>
      <c r="N47" s="115" t="n"/>
      <c r="O47" s="6" t="n"/>
    </row>
    <row r="48">
      <c r="A48" s="112" t="n"/>
      <c r="B48" s="4" t="n"/>
      <c r="C48" s="4" t="n"/>
      <c r="D48" s="7" t="n"/>
      <c r="E48" s="7" t="n"/>
      <c r="F48" s="8">
        <f>IF(ISBLANK(B48),"",IF(I48="L","Baixa",IF(I48="A","Média",IF(I48="","","Alta"))))</f>
        <v/>
      </c>
      <c r="G48" s="7">
        <f>CONCATENATE(B48,I48)</f>
        <v/>
      </c>
      <c r="H48" s="5">
        <f>IF(ISBLANK(B48),"",IF(B48="ALI",IF(I48="L",7,IF(I48="A",10,15)),IF(B48="AIE",IF(I48="L",5,IF(I48="A",7,10)),IF(B48="SE",IF(I48="L",4,IF(I48="A",5,7)),IF(OR(B48="EE",B48="CE"),IF(I48="L",3,IF(I48="A",4,6)),0)))))</f>
        <v/>
      </c>
      <c r="I48" s="110">
        <f>IF(OR(ISBLANK(D48),ISBLANK(E48)),IF(OR(B48="ALI",B48="AIE"),"L",IF(OR(B48="EE",B48="SE",B48="CE"),"A","")),IF(B48="EE",IF(E48&gt;=3,IF(D48&gt;=5,"H","A"),IF(E48&gt;=2,IF(D48&gt;=16,"H",IF(D48&lt;=4,"L","A")),IF(D48&lt;=15,"L","A"))),IF(OR(B48="SE",B48="CE"),IF(E48&gt;=4,IF(D48&gt;=6,"H","A"),IF(E48&gt;=2,IF(D48&gt;=20,"H",IF(D48&lt;=5,"L","A")),IF(D48&lt;=19,"L","A"))),IF(OR(B48="ALI",B48="AIE"),IF(E48&gt;=6,IF(D48&gt;=20,"H","A"),IF(E48&gt;=2,IF(D48&gt;=51,"H",IF(D48&lt;=19,"L","A")),IF(D48&lt;=50,"L","A"))),""))))</f>
        <v/>
      </c>
      <c r="J48" s="7">
        <f>CONCATENATE(B48,C48)</f>
        <v/>
      </c>
      <c r="K48" s="9">
        <f>IF(OR(H48="",H48=0),L48,H48)</f>
        <v/>
      </c>
      <c r="L48" s="9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 t="n"/>
      <c r="N48" s="115" t="n"/>
      <c r="O48" s="6" t="n"/>
    </row>
    <row r="49">
      <c r="A49" s="112" t="n"/>
      <c r="B49" s="4" t="n"/>
      <c r="C49" s="4" t="n"/>
      <c r="D49" s="7" t="n"/>
      <c r="E49" s="7" t="n"/>
      <c r="F49" s="8">
        <f>IF(ISBLANK(B49),"",IF(I49="L","Baixa",IF(I49="A","Média",IF(I49="","","Alta"))))</f>
        <v/>
      </c>
      <c r="G49" s="7">
        <f>CONCATENATE(B49,I49)</f>
        <v/>
      </c>
      <c r="H49" s="5">
        <f>IF(ISBLANK(B49),"",IF(B49="ALI",IF(I49="L",7,IF(I49="A",10,15)),IF(B49="AIE",IF(I49="L",5,IF(I49="A",7,10)),IF(B49="SE",IF(I49="L",4,IF(I49="A",5,7)),IF(OR(B49="EE",B49="CE"),IF(I49="L",3,IF(I49="A",4,6)),0)))))</f>
        <v/>
      </c>
      <c r="I49" s="110">
        <f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/>
      </c>
      <c r="J49" s="7">
        <f>CONCATENATE(B49,C49)</f>
        <v/>
      </c>
      <c r="K49" s="9">
        <f>IF(OR(H49="",H49=0),L49,H49)</f>
        <v/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10" t="n"/>
      <c r="N49" s="115" t="n"/>
      <c r="O49" s="6" t="n"/>
    </row>
    <row r="50">
      <c r="A50" s="112" t="n"/>
      <c r="B50" s="4" t="n"/>
      <c r="C50" s="4" t="n"/>
      <c r="D50" s="7" t="n"/>
      <c r="E50" s="7" t="n"/>
      <c r="F50" s="8">
        <f>IF(ISBLANK(B50),"",IF(I50="L","Baixa",IF(I50="A","Média",IF(I50="","","Alta"))))</f>
        <v/>
      </c>
      <c r="G50" s="7">
        <f>CONCATENATE(B50,I50)</f>
        <v/>
      </c>
      <c r="H50" s="5">
        <f>IF(ISBLANK(B50),"",IF(B50="ALI",IF(I50="L",7,IF(I50="A",10,15)),IF(B50="AIE",IF(I50="L",5,IF(I50="A",7,10)),IF(B50="SE",IF(I50="L",4,IF(I50="A",5,7)),IF(OR(B50="EE",B50="CE"),IF(I50="L",3,IF(I50="A",4,6)),0)))))</f>
        <v/>
      </c>
      <c r="I50" s="110">
        <f>IF(OR(ISBLANK(D50),ISBLANK(E50)),IF(OR(B50="ALI",B50="AIE"),"L",IF(OR(B50="EE",B50="SE",B50="CE"),"A","")),IF(B50="EE",IF(E50&gt;=3,IF(D50&gt;=5,"H","A"),IF(E50&gt;=2,IF(D50&gt;=16,"H",IF(D50&lt;=4,"L","A")),IF(D50&lt;=15,"L","A"))),IF(OR(B50="SE",B50="CE"),IF(E50&gt;=4,IF(D50&gt;=6,"H","A"),IF(E50&gt;=2,IF(D50&gt;=20,"H",IF(D50&lt;=5,"L","A")),IF(D50&lt;=19,"L","A"))),IF(OR(B50="ALI",B50="AIE"),IF(E50&gt;=6,IF(D50&gt;=20,"H","A"),IF(E50&gt;=2,IF(D50&gt;=51,"H",IF(D50&lt;=19,"L","A")),IF(D50&lt;=50,"L","A"))),""))))</f>
        <v/>
      </c>
      <c r="J50" s="7">
        <f>CONCATENATE(B50,C50)</f>
        <v/>
      </c>
      <c r="K50" s="9">
        <f>IF(OR(H50="",H50=0),L50,H50)</f>
        <v/>
      </c>
      <c r="L50" s="9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 t="n"/>
      <c r="N50" s="115" t="n"/>
      <c r="O50" s="6" t="n"/>
    </row>
    <row r="51">
      <c r="A51" s="112" t="n"/>
      <c r="B51" s="4" t="n"/>
      <c r="C51" s="4" t="n"/>
      <c r="D51" s="7" t="n"/>
      <c r="E51" s="7" t="n"/>
      <c r="F51" s="8">
        <f>IF(ISBLANK(B51),"",IF(I51="L","Baixa",IF(I51="A","Média",IF(I51="","","Alta"))))</f>
        <v/>
      </c>
      <c r="G51" s="7">
        <f>CONCATENATE(B51,I51)</f>
        <v/>
      </c>
      <c r="H51" s="5">
        <f>IF(ISBLANK(B51),"",IF(B51="ALI",IF(I51="L",7,IF(I51="A",10,15)),IF(B51="AIE",IF(I51="L",5,IF(I51="A",7,10)),IF(B51="SE",IF(I51="L",4,IF(I51="A",5,7)),IF(OR(B51="EE",B51="CE"),IF(I51="L",3,IF(I51="A",4,6)),0)))))</f>
        <v/>
      </c>
      <c r="I51" s="110">
        <f>IF(OR(ISBLANK(D51),ISBLANK(E51)),IF(OR(B51="ALI",B51="AIE"),"L",IF(OR(B51="EE",B51="SE",B51="CE"),"A","")),IF(B51="EE",IF(E51&gt;=3,IF(D51&gt;=5,"H","A"),IF(E51&gt;=2,IF(D51&gt;=16,"H",IF(D51&lt;=4,"L","A")),IF(D51&lt;=15,"L","A"))),IF(OR(B51="SE",B51="CE"),IF(E51&gt;=4,IF(D51&gt;=6,"H","A"),IF(E51&gt;=2,IF(D51&gt;=20,"H",IF(D51&lt;=5,"L","A")),IF(D51&lt;=19,"L","A"))),IF(OR(B51="ALI",B51="AIE"),IF(E51&gt;=6,IF(D51&gt;=20,"H","A"),IF(E51&gt;=2,IF(D51&gt;=51,"H",IF(D51&lt;=19,"L","A")),IF(D51&lt;=50,"L","A"))),""))))</f>
        <v/>
      </c>
      <c r="J51" s="7">
        <f>CONCATENATE(B51,C51)</f>
        <v/>
      </c>
      <c r="K51" s="9">
        <f>IF(OR(H51="",H51=0),L51,H51)</f>
        <v/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10" t="n"/>
      <c r="N51" s="115" t="n"/>
      <c r="O51" s="6" t="n"/>
    </row>
    <row r="52">
      <c r="A52" s="112" t="n"/>
      <c r="B52" s="4" t="n"/>
      <c r="C52" s="4" t="n"/>
      <c r="D52" s="7" t="n"/>
      <c r="E52" s="7" t="n"/>
      <c r="F52" s="8">
        <f>IF(ISBLANK(B52),"",IF(I52="L","Baixa",IF(I52="A","Média",IF(I52="","","Alta"))))</f>
        <v/>
      </c>
      <c r="G52" s="7">
        <f>CONCATENATE(B52,I52)</f>
        <v/>
      </c>
      <c r="H52" s="5">
        <f>IF(ISBLANK(B52),"",IF(B52="ALI",IF(I52="L",7,IF(I52="A",10,15)),IF(B52="AIE",IF(I52="L",5,IF(I52="A",7,10)),IF(B52="SE",IF(I52="L",4,IF(I52="A",5,7)),IF(OR(B52="EE",B52="CE"),IF(I52="L",3,IF(I52="A",4,6)),0)))))</f>
        <v/>
      </c>
      <c r="I52" s="110">
        <f>IF(OR(ISBLANK(D52),ISBLANK(E52)),IF(OR(B52="ALI",B52="AIE"),"L",IF(OR(B52="EE",B52="SE",B52="CE"),"A","")),IF(B52="EE",IF(E52&gt;=3,IF(D52&gt;=5,"H","A"),IF(E52&gt;=2,IF(D52&gt;=16,"H",IF(D52&lt;=4,"L","A")),IF(D52&lt;=15,"L","A"))),IF(OR(B52="SE",B52="CE"),IF(E52&gt;=4,IF(D52&gt;=6,"H","A"),IF(E52&gt;=2,IF(D52&gt;=20,"H",IF(D52&lt;=5,"L","A")),IF(D52&lt;=19,"L","A"))),IF(OR(B52="ALI",B52="AIE"),IF(E52&gt;=6,IF(D52&gt;=20,"H","A"),IF(E52&gt;=2,IF(D52&gt;=51,"H",IF(D52&lt;=19,"L","A")),IF(D52&lt;=50,"L","A"))),""))))</f>
        <v/>
      </c>
      <c r="J52" s="7">
        <f>CONCATENATE(B52,C52)</f>
        <v/>
      </c>
      <c r="K52" s="9">
        <f>IF(OR(H52="",H52=0),L52,H52)</f>
        <v/>
      </c>
      <c r="L52" s="9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 t="n"/>
      <c r="N52" s="115" t="n"/>
      <c r="O52" s="6" t="n"/>
    </row>
    <row r="53">
      <c r="A53" s="112" t="n"/>
      <c r="B53" s="4" t="n"/>
      <c r="C53" s="4" t="n"/>
      <c r="D53" s="7" t="n"/>
      <c r="E53" s="7" t="n"/>
      <c r="F53" s="8">
        <f>IF(ISBLANK(B53),"",IF(I53="L","Baixa",IF(I53="A","Média",IF(I53="","","Alta"))))</f>
        <v/>
      </c>
      <c r="G53" s="7">
        <f>CONCATENATE(B53,I53)</f>
        <v/>
      </c>
      <c r="H53" s="5">
        <f>IF(ISBLANK(B53),"",IF(B53="ALI",IF(I53="L",7,IF(I53="A",10,15)),IF(B53="AIE",IF(I53="L",5,IF(I53="A",7,10)),IF(B53="SE",IF(I53="L",4,IF(I53="A",5,7)),IF(OR(B53="EE",B53="CE"),IF(I53="L",3,IF(I53="A",4,6)),0)))))</f>
        <v/>
      </c>
      <c r="I53" s="110">
        <f>IF(OR(ISBLANK(D53),ISBLANK(E53)),IF(OR(B53="ALI",B53="AIE"),"L",IF(OR(B53="EE",B53="SE",B53="CE"),"A","")),IF(B53="EE",IF(E53&gt;=3,IF(D53&gt;=5,"H","A"),IF(E53&gt;=2,IF(D53&gt;=16,"H",IF(D53&lt;=4,"L","A")),IF(D53&lt;=15,"L","A"))),IF(OR(B53="SE",B53="CE"),IF(E53&gt;=4,IF(D53&gt;=6,"H","A"),IF(E53&gt;=2,IF(D53&gt;=20,"H",IF(D53&lt;=5,"L","A")),IF(D53&lt;=19,"L","A"))),IF(OR(B53="ALI",B53="AIE"),IF(E53&gt;=6,IF(D53&gt;=20,"H","A"),IF(E53&gt;=2,IF(D53&gt;=51,"H",IF(D53&lt;=19,"L","A")),IF(D53&lt;=50,"L","A"))),""))))</f>
        <v/>
      </c>
      <c r="J53" s="7">
        <f>CONCATENATE(B53,C53)</f>
        <v/>
      </c>
      <c r="K53" s="9">
        <f>IF(OR(H53="",H53=0),L53,H53)</f>
        <v/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10" t="n"/>
      <c r="N53" s="115" t="n"/>
      <c r="O53" s="6" t="n"/>
    </row>
    <row r="54">
      <c r="A54" s="112" t="n"/>
      <c r="B54" s="4" t="n"/>
      <c r="C54" s="4" t="n"/>
      <c r="D54" s="7" t="n"/>
      <c r="E54" s="7" t="n"/>
      <c r="F54" s="8">
        <f>IF(ISBLANK(B54),"",IF(I54="L","Baixa",IF(I54="A","Média",IF(I54="","","Alta"))))</f>
        <v/>
      </c>
      <c r="G54" s="7">
        <f>CONCATENATE(B54,I54)</f>
        <v/>
      </c>
      <c r="H54" s="5">
        <f>IF(ISBLANK(B54),"",IF(B54="ALI",IF(I54="L",7,IF(I54="A",10,15)),IF(B54="AIE",IF(I54="L",5,IF(I54="A",7,10)),IF(B54="SE",IF(I54="L",4,IF(I54="A",5,7)),IF(OR(B54="EE",B54="CE"),IF(I54="L",3,IF(I54="A",4,6)),0)))))</f>
        <v/>
      </c>
      <c r="I54" s="110">
        <f>IF(OR(ISBLANK(D54),ISBLANK(E54)),IF(OR(B54="ALI",B54="AIE"),"L",IF(OR(B54="EE",B54="SE",B54="CE"),"A","")),IF(B54="EE",IF(E54&gt;=3,IF(D54&gt;=5,"H","A"),IF(E54&gt;=2,IF(D54&gt;=16,"H",IF(D54&lt;=4,"L","A")),IF(D54&lt;=15,"L","A"))),IF(OR(B54="SE",B54="CE"),IF(E54&gt;=4,IF(D54&gt;=6,"H","A"),IF(E54&gt;=2,IF(D54&gt;=20,"H",IF(D54&lt;=5,"L","A")),IF(D54&lt;=19,"L","A"))),IF(OR(B54="ALI",B54="AIE"),IF(E54&gt;=6,IF(D54&gt;=20,"H","A"),IF(E54&gt;=2,IF(D54&gt;=51,"H",IF(D54&lt;=19,"L","A")),IF(D54&lt;=50,"L","A"))),""))))</f>
        <v/>
      </c>
      <c r="J54" s="7">
        <f>CONCATENATE(B54,C54)</f>
        <v/>
      </c>
      <c r="K54" s="9">
        <f>IF(OR(H54="",H54=0),L54,H54)</f>
        <v/>
      </c>
      <c r="L54" s="9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 t="n"/>
      <c r="N54" s="115" t="n"/>
      <c r="O54" s="6" t="n"/>
    </row>
    <row r="55">
      <c r="A55" s="112" t="n"/>
      <c r="B55" s="4" t="n"/>
      <c r="C55" s="4" t="n"/>
      <c r="D55" s="7" t="n"/>
      <c r="E55" s="7" t="n"/>
      <c r="F55" s="8">
        <f>IF(ISBLANK(B55),"",IF(I55="L","Baixa",IF(I55="A","Média",IF(I55="","","Alta"))))</f>
        <v/>
      </c>
      <c r="G55" s="7">
        <f>CONCATENATE(B55,I55)</f>
        <v/>
      </c>
      <c r="H55" s="5">
        <f>IF(ISBLANK(B55),"",IF(B55="ALI",IF(I55="L",7,IF(I55="A",10,15)),IF(B55="AIE",IF(I55="L",5,IF(I55="A",7,10)),IF(B55="SE",IF(I55="L",4,IF(I55="A",5,7)),IF(OR(B55="EE",B55="CE"),IF(I55="L",3,IF(I55="A",4,6)),0)))))</f>
        <v/>
      </c>
      <c r="I55" s="110">
        <f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/>
      </c>
      <c r="J55" s="7">
        <f>CONCATENATE(B55,C55)</f>
        <v/>
      </c>
      <c r="K55" s="9">
        <f>IF(OR(H55="",H55=0),L55,H55)</f>
        <v/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/>
      </c>
      <c r="M55" s="10" t="n"/>
      <c r="N55" s="115" t="n"/>
      <c r="O55" s="6" t="n"/>
    </row>
    <row r="56">
      <c r="A56" s="112" t="n"/>
      <c r="B56" s="4" t="n"/>
      <c r="C56" s="4" t="n"/>
      <c r="D56" s="7" t="n"/>
      <c r="E56" s="7" t="n"/>
      <c r="F56" s="8">
        <f>IF(ISBLANK(B56),"",IF(I56="L","Baixa",IF(I56="A","Média",IF(I56="","","Alta"))))</f>
        <v/>
      </c>
      <c r="G56" s="7">
        <f>CONCATENATE(B56,I56)</f>
        <v/>
      </c>
      <c r="H56" s="5">
        <f>IF(ISBLANK(B56),"",IF(B56="ALI",IF(I56="L",7,IF(I56="A",10,15)),IF(B56="AIE",IF(I56="L",5,IF(I56="A",7,10)),IF(B56="SE",IF(I56="L",4,IF(I56="A",5,7)),IF(OR(B56="EE",B56="CE"),IF(I56="L",3,IF(I56="A",4,6)),0)))))</f>
        <v/>
      </c>
      <c r="I56" s="110">
        <f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/>
      </c>
      <c r="J56" s="7">
        <f>CONCATENATE(B56,C56)</f>
        <v/>
      </c>
      <c r="K56" s="9">
        <f>IF(OR(H56="",H56=0),L56,H56)</f>
        <v/>
      </c>
      <c r="L56" s="9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 t="n"/>
      <c r="N56" s="115" t="n"/>
      <c r="O56" s="6" t="n"/>
    </row>
    <row r="57">
      <c r="A57" s="112" t="n"/>
      <c r="B57" s="4" t="n"/>
      <c r="C57" s="4" t="n"/>
      <c r="D57" s="7" t="n"/>
      <c r="E57" s="7" t="n"/>
      <c r="F57" s="8">
        <f>IF(ISBLANK(B57),"",IF(I57="L","Baixa",IF(I57="A","Média",IF(I57="","","Alta"))))</f>
        <v/>
      </c>
      <c r="G57" s="7">
        <f>CONCATENATE(B57,I57)</f>
        <v/>
      </c>
      <c r="H57" s="5">
        <f>IF(ISBLANK(B57),"",IF(B57="ALI",IF(I57="L",7,IF(I57="A",10,15)),IF(B57="AIE",IF(I57="L",5,IF(I57="A",7,10)),IF(B57="SE",IF(I57="L",4,IF(I57="A",5,7)),IF(OR(B57="EE",B57="CE"),IF(I57="L",3,IF(I57="A",4,6)),0)))))</f>
        <v/>
      </c>
      <c r="I57" s="110">
        <f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/>
      </c>
      <c r="J57" s="7">
        <f>CONCATENATE(B57,C57)</f>
        <v/>
      </c>
      <c r="K57" s="9">
        <f>IF(OR(H57="",H57=0),L57,H57)</f>
        <v/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10" t="n"/>
      <c r="N57" s="115" t="n"/>
      <c r="O57" s="6" t="n"/>
    </row>
    <row r="58">
      <c r="A58" s="112" t="n"/>
      <c r="B58" s="4" t="n"/>
      <c r="C58" s="4" t="n"/>
      <c r="D58" s="7" t="n"/>
      <c r="E58" s="7" t="n"/>
      <c r="F58" s="8">
        <f>IF(ISBLANK(B58),"",IF(I58="L","Baixa",IF(I58="A","Média",IF(I58="","","Alta"))))</f>
        <v/>
      </c>
      <c r="G58" s="7">
        <f>CONCATENATE(B58,I58)</f>
        <v/>
      </c>
      <c r="H58" s="5">
        <f>IF(ISBLANK(B58),"",IF(B58="ALI",IF(I58="L",7,IF(I58="A",10,15)),IF(B58="AIE",IF(I58="L",5,IF(I58="A",7,10)),IF(B58="SE",IF(I58="L",4,IF(I58="A",5,7)),IF(OR(B58="EE",B58="CE"),IF(I58="L",3,IF(I58="A",4,6)),0)))))</f>
        <v/>
      </c>
      <c r="I58" s="110">
        <f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/>
      </c>
      <c r="J58" s="7">
        <f>CONCATENATE(B58,C58)</f>
        <v/>
      </c>
      <c r="K58" s="9">
        <f>IF(OR(H58="",H58=0),L58,H58)</f>
        <v/>
      </c>
      <c r="L58" s="9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 t="n"/>
      <c r="N58" s="115" t="n"/>
      <c r="O58" s="6" t="n"/>
    </row>
    <row r="59">
      <c r="A59" s="112" t="n"/>
      <c r="B59" s="4" t="n"/>
      <c r="C59" s="4" t="n"/>
      <c r="D59" s="7" t="n"/>
      <c r="E59" s="7" t="n"/>
      <c r="F59" s="8">
        <f>IF(ISBLANK(B59),"",IF(I59="L","Baixa",IF(I59="A","Média",IF(I59="","","Alta"))))</f>
        <v/>
      </c>
      <c r="G59" s="7">
        <f>CONCATENATE(B59,I59)</f>
        <v/>
      </c>
      <c r="H59" s="5">
        <f>IF(ISBLANK(B59),"",IF(B59="ALI",IF(I59="L",7,IF(I59="A",10,15)),IF(B59="AIE",IF(I59="L",5,IF(I59="A",7,10)),IF(B59="SE",IF(I59="L",4,IF(I59="A",5,7)),IF(OR(B59="EE",B59="CE"),IF(I59="L",3,IF(I59="A",4,6)),0)))))</f>
        <v/>
      </c>
      <c r="I59" s="110">
        <f>IF(OR(ISBLANK(D59),ISBLANK(E59)),IF(OR(B59="ALI",B59="AIE"),"L",IF(OR(B59="EE",B59="SE",B59="CE"),"A","")),IF(B59="EE",IF(E59&gt;=3,IF(D59&gt;=5,"H","A"),IF(E59&gt;=2,IF(D59&gt;=16,"H",IF(D59&lt;=4,"L","A")),IF(D59&lt;=15,"L","A"))),IF(OR(B59="SE",B59="CE"),IF(E59&gt;=4,IF(D59&gt;=6,"H","A"),IF(E59&gt;=2,IF(D59&gt;=20,"H",IF(D59&lt;=5,"L","A")),IF(D59&lt;=19,"L","A"))),IF(OR(B59="ALI",B59="AIE"),IF(E59&gt;=6,IF(D59&gt;=20,"H","A"),IF(E59&gt;=2,IF(D59&gt;=51,"H",IF(D59&lt;=19,"L","A")),IF(D59&lt;=50,"L","A"))),""))))</f>
        <v/>
      </c>
      <c r="J59" s="7">
        <f>CONCATENATE(B59,C59)</f>
        <v/>
      </c>
      <c r="K59" s="9">
        <f>IF(OR(H59="",H59=0),L59,H59)</f>
        <v/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10" t="n"/>
      <c r="N59" s="115" t="n"/>
      <c r="O59" s="6" t="n"/>
    </row>
    <row r="60">
      <c r="A60" s="112" t="n"/>
      <c r="B60" s="4" t="n"/>
      <c r="C60" s="4" t="n"/>
      <c r="D60" s="7" t="n"/>
      <c r="E60" s="7" t="n"/>
      <c r="F60" s="8">
        <f>IF(ISBLANK(B60),"",IF(I60="L","Baixa",IF(I60="A","Média",IF(I60="","","Alta"))))</f>
        <v/>
      </c>
      <c r="G60" s="7">
        <f>CONCATENATE(B60,I60)</f>
        <v/>
      </c>
      <c r="H60" s="5">
        <f>IF(ISBLANK(B60),"",IF(B60="ALI",IF(I60="L",7,IF(I60="A",10,15)),IF(B60="AIE",IF(I60="L",5,IF(I60="A",7,10)),IF(B60="SE",IF(I60="L",4,IF(I60="A",5,7)),IF(OR(B60="EE",B60="CE"),IF(I60="L",3,IF(I60="A",4,6)),0)))))</f>
        <v/>
      </c>
      <c r="I60" s="110">
        <f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/>
      </c>
      <c r="J60" s="7">
        <f>CONCATENATE(B60,C60)</f>
        <v/>
      </c>
      <c r="K60" s="9">
        <f>IF(OR(H60="",H60=0),L60,H60)</f>
        <v/>
      </c>
      <c r="L60" s="9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 t="n"/>
      <c r="N60" s="115" t="n"/>
      <c r="O60" s="6" t="n"/>
    </row>
    <row r="61">
      <c r="A61" s="112" t="n"/>
      <c r="B61" s="4" t="n"/>
      <c r="C61" s="4" t="n"/>
      <c r="D61" s="7" t="n"/>
      <c r="E61" s="7" t="n"/>
      <c r="F61" s="8">
        <f>IF(ISBLANK(B61),"",IF(I61="L","Baixa",IF(I61="A","Média",IF(I61="","","Alta"))))</f>
        <v/>
      </c>
      <c r="G61" s="7">
        <f>CONCATENATE(B61,I61)</f>
        <v/>
      </c>
      <c r="H61" s="5">
        <f>IF(ISBLANK(B61),"",IF(B61="ALI",IF(I61="L",7,IF(I61="A",10,15)),IF(B61="AIE",IF(I61="L",5,IF(I61="A",7,10)),IF(B61="SE",IF(I61="L",4,IF(I61="A",5,7)),IF(OR(B61="EE",B61="CE"),IF(I61="L",3,IF(I61="A",4,6)),0)))))</f>
        <v/>
      </c>
      <c r="I61" s="110">
        <f>IF(OR(ISBLANK(D61),ISBLANK(E61)),IF(OR(B61="ALI",B61="AIE"),"L",IF(OR(B61="EE",B61="SE",B61="CE"),"A","")),IF(B61="EE",IF(E61&gt;=3,IF(D61&gt;=5,"H","A"),IF(E61&gt;=2,IF(D61&gt;=16,"H",IF(D61&lt;=4,"L","A")),IF(D61&lt;=15,"L","A"))),IF(OR(B61="SE",B61="CE"),IF(E61&gt;=4,IF(D61&gt;=6,"H","A"),IF(E61&gt;=2,IF(D61&gt;=20,"H",IF(D61&lt;=5,"L","A")),IF(D61&lt;=19,"L","A"))),IF(OR(B61="ALI",B61="AIE"),IF(E61&gt;=6,IF(D61&gt;=20,"H","A"),IF(E61&gt;=2,IF(D61&gt;=51,"H",IF(D61&lt;=19,"L","A")),IF(D61&lt;=50,"L","A"))),""))))</f>
        <v/>
      </c>
      <c r="J61" s="7">
        <f>CONCATENATE(B61,C61)</f>
        <v/>
      </c>
      <c r="K61" s="9">
        <f>IF(OR(H61="",H61=0),L61,H61)</f>
        <v/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 t="n"/>
      <c r="N61" s="115" t="n"/>
      <c r="O61" s="6" t="n"/>
    </row>
    <row r="62">
      <c r="A62" s="112" t="n"/>
      <c r="B62" s="4" t="n"/>
      <c r="C62" s="4" t="n"/>
      <c r="D62" s="7" t="n"/>
      <c r="E62" s="7" t="n"/>
      <c r="F62" s="8">
        <f>IF(ISBLANK(B62),"",IF(I62="L","Baixa",IF(I62="A","Média",IF(I62="","","Alta"))))</f>
        <v/>
      </c>
      <c r="G62" s="7">
        <f>CONCATENATE(B62,I62)</f>
        <v/>
      </c>
      <c r="H62" s="5">
        <f>IF(ISBLANK(B62),"",IF(B62="ALI",IF(I62="L",7,IF(I62="A",10,15)),IF(B62="AIE",IF(I62="L",5,IF(I62="A",7,10)),IF(B62="SE",IF(I62="L",4,IF(I62="A",5,7)),IF(OR(B62="EE",B62="CE"),IF(I62="L",3,IF(I62="A",4,6)),0)))))</f>
        <v/>
      </c>
      <c r="I62" s="110">
        <f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/>
      </c>
      <c r="J62" s="7">
        <f>CONCATENATE(B62,C62)</f>
        <v/>
      </c>
      <c r="K62" s="9">
        <f>IF(OR(H62="",H62=0),L62,H62)</f>
        <v/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10" t="n"/>
      <c r="N62" s="115" t="n"/>
      <c r="O62" s="6" t="n"/>
    </row>
    <row r="63">
      <c r="A63" s="112" t="n"/>
      <c r="B63" s="4" t="n"/>
      <c r="C63" s="4" t="n"/>
      <c r="D63" s="7" t="n"/>
      <c r="E63" s="7" t="n"/>
      <c r="F63" s="8">
        <f>IF(ISBLANK(B63),"",IF(I63="L","Baixa",IF(I63="A","Média",IF(I63="","","Alta"))))</f>
        <v/>
      </c>
      <c r="G63" s="7">
        <f>CONCATENATE(B63,I63)</f>
        <v/>
      </c>
      <c r="H63" s="5">
        <f>IF(ISBLANK(B63),"",IF(B63="ALI",IF(I63="L",7,IF(I63="A",10,15)),IF(B63="AIE",IF(I63="L",5,IF(I63="A",7,10)),IF(B63="SE",IF(I63="L",4,IF(I63="A",5,7)),IF(OR(B63="EE",B63="CE"),IF(I63="L",3,IF(I63="A",4,6)),0)))))</f>
        <v/>
      </c>
      <c r="I63" s="110">
        <f>IF(OR(ISBLANK(D63),ISBLANK(E63)),IF(OR(B63="ALI",B63="AIE"),"L",IF(OR(B63="EE",B63="SE",B63="CE"),"A","")),IF(B63="EE",IF(E63&gt;=3,IF(D63&gt;=5,"H","A"),IF(E63&gt;=2,IF(D63&gt;=16,"H",IF(D63&lt;=4,"L","A")),IF(D63&lt;=15,"L","A"))),IF(OR(B63="SE",B63="CE"),IF(E63&gt;=4,IF(D63&gt;=6,"H","A"),IF(E63&gt;=2,IF(D63&gt;=20,"H",IF(D63&lt;=5,"L","A")),IF(D63&lt;=19,"L","A"))),IF(OR(B63="ALI",B63="AIE"),IF(E63&gt;=6,IF(D63&gt;=20,"H","A"),IF(E63&gt;=2,IF(D63&gt;=51,"H",IF(D63&lt;=19,"L","A")),IF(D63&lt;=50,"L","A"))),""))))</f>
        <v/>
      </c>
      <c r="J63" s="7">
        <f>CONCATENATE(B63,C63)</f>
        <v/>
      </c>
      <c r="K63" s="9">
        <f>IF(OR(H63="",H63=0),L63,H63)</f>
        <v/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 t="n"/>
      <c r="N63" s="115" t="n"/>
      <c r="O63" s="6" t="n"/>
    </row>
    <row r="64">
      <c r="A64" s="112" t="n"/>
      <c r="B64" s="4" t="n"/>
      <c r="C64" s="4" t="n"/>
      <c r="D64" s="7" t="n"/>
      <c r="E64" s="7" t="n"/>
      <c r="F64" s="8">
        <f>IF(ISBLANK(B64),"",IF(I64="L","Baixa",IF(I64="A","Média",IF(I64="","","Alta"))))</f>
        <v/>
      </c>
      <c r="G64" s="7">
        <f>CONCATENATE(B64,I64)</f>
        <v/>
      </c>
      <c r="H64" s="5">
        <f>IF(ISBLANK(B64),"",IF(B64="ALI",IF(I64="L",7,IF(I64="A",10,15)),IF(B64="AIE",IF(I64="L",5,IF(I64="A",7,10)),IF(B64="SE",IF(I64="L",4,IF(I64="A",5,7)),IF(OR(B64="EE",B64="CE"),IF(I64="L",3,IF(I64="A",4,6)),0)))))</f>
        <v/>
      </c>
      <c r="I64" s="110">
        <f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/>
      </c>
      <c r="J64" s="7">
        <f>CONCATENATE(B64,C64)</f>
        <v/>
      </c>
      <c r="K64" s="9">
        <f>IF(OR(H64="",H64=0),L64,H64)</f>
        <v/>
      </c>
      <c r="L64" s="9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 t="n"/>
      <c r="N64" s="115" t="n"/>
      <c r="O64" s="6" t="n"/>
    </row>
    <row r="65">
      <c r="A65" s="112" t="n"/>
      <c r="B65" s="4" t="n"/>
      <c r="C65" s="4" t="n"/>
      <c r="D65" s="7" t="n"/>
      <c r="E65" s="7" t="n"/>
      <c r="F65" s="8">
        <f>IF(ISBLANK(B65),"",IF(I65="L","Baixa",IF(I65="A","Média",IF(I65="","","Alta"))))</f>
        <v/>
      </c>
      <c r="G65" s="7">
        <f>CONCATENATE(B65,I65)</f>
        <v/>
      </c>
      <c r="H65" s="5">
        <f>IF(ISBLANK(B65),"",IF(B65="ALI",IF(I65="L",7,IF(I65="A",10,15)),IF(B65="AIE",IF(I65="L",5,IF(I65="A",7,10)),IF(B65="SE",IF(I65="L",4,IF(I65="A",5,7)),IF(OR(B65="EE",B65="CE"),IF(I65="L",3,IF(I65="A",4,6)),0)))))</f>
        <v/>
      </c>
      <c r="I65" s="110">
        <f>IF(OR(ISBLANK(D65),ISBLANK(E65)),IF(OR(B65="ALI",B65="AIE"),"L",IF(OR(B65="EE",B65="SE",B65="CE"),"A","")),IF(B65="EE",IF(E65&gt;=3,IF(D65&gt;=5,"H","A"),IF(E65&gt;=2,IF(D65&gt;=16,"H",IF(D65&lt;=4,"L","A")),IF(D65&lt;=15,"L","A"))),IF(OR(B65="SE",B65="CE"),IF(E65&gt;=4,IF(D65&gt;=6,"H","A"),IF(E65&gt;=2,IF(D65&gt;=20,"H",IF(D65&lt;=5,"L","A")),IF(D65&lt;=19,"L","A"))),IF(OR(B65="ALI",B65="AIE"),IF(E65&gt;=6,IF(D65&gt;=20,"H","A"),IF(E65&gt;=2,IF(D65&gt;=51,"H",IF(D65&lt;=19,"L","A")),IF(D65&lt;=50,"L","A"))),""))))</f>
        <v/>
      </c>
      <c r="J65" s="7">
        <f>CONCATENATE(B65,C65)</f>
        <v/>
      </c>
      <c r="K65" s="9">
        <f>IF(OR(H65="",H65=0),L65,H65)</f>
        <v/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10" t="n"/>
      <c r="N65" s="115" t="n"/>
      <c r="O65" s="6" t="n"/>
    </row>
    <row r="66">
      <c r="A66" s="112" t="n"/>
      <c r="B66" s="4" t="n"/>
      <c r="C66" s="4" t="n"/>
      <c r="D66" s="7" t="n"/>
      <c r="E66" s="7" t="n"/>
      <c r="F66" s="8">
        <f>IF(ISBLANK(B66),"",IF(I66="L","Baixa",IF(I66="A","Média",IF(I66="","","Alta"))))</f>
        <v/>
      </c>
      <c r="G66" s="7">
        <f>CONCATENATE(B66,I66)</f>
        <v/>
      </c>
      <c r="H66" s="5">
        <f>IF(ISBLANK(B66),"",IF(B66="ALI",IF(I66="L",7,IF(I66="A",10,15)),IF(B66="AIE",IF(I66="L",5,IF(I66="A",7,10)),IF(B66="SE",IF(I66="L",4,IF(I66="A",5,7)),IF(OR(B66="EE",B66="CE"),IF(I66="L",3,IF(I66="A",4,6)),0)))))</f>
        <v/>
      </c>
      <c r="I66" s="110">
        <f>IF(OR(ISBLANK(D66),ISBLANK(E66)),IF(OR(B66="ALI",B66="AIE"),"L",IF(OR(B66="EE",B66="SE",B66="CE"),"A","")),IF(B66="EE",IF(E66&gt;=3,IF(D66&gt;=5,"H","A"),IF(E66&gt;=2,IF(D66&gt;=16,"H",IF(D66&lt;=4,"L","A")),IF(D66&lt;=15,"L","A"))),IF(OR(B66="SE",B66="CE"),IF(E66&gt;=4,IF(D66&gt;=6,"H","A"),IF(E66&gt;=2,IF(D66&gt;=20,"H",IF(D66&lt;=5,"L","A")),IF(D66&lt;=19,"L","A"))),IF(OR(B66="ALI",B66="AIE"),IF(E66&gt;=6,IF(D66&gt;=20,"H","A"),IF(E66&gt;=2,IF(D66&gt;=51,"H",IF(D66&lt;=19,"L","A")),IF(D66&lt;=50,"L","A"))),""))))</f>
        <v/>
      </c>
      <c r="J66" s="7">
        <f>CONCATENATE(B66,C66)</f>
        <v/>
      </c>
      <c r="K66" s="9">
        <f>IF(OR(H66="",H66=0),L66,H66)</f>
        <v/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10" t="n"/>
      <c r="N66" s="115" t="n"/>
      <c r="O66" s="6" t="n"/>
    </row>
    <row r="67">
      <c r="A67" s="112" t="n"/>
      <c r="B67" s="4" t="n"/>
      <c r="C67" s="4" t="n"/>
      <c r="D67" s="7" t="n"/>
      <c r="E67" s="7" t="n"/>
      <c r="F67" s="8">
        <f>IF(ISBLANK(B67),"",IF(I67="L","Baixa",IF(I67="A","Média",IF(I67="","","Alta"))))</f>
        <v/>
      </c>
      <c r="G67" s="7">
        <f>CONCATENATE(B67,I67)</f>
        <v/>
      </c>
      <c r="H67" s="5">
        <f>IF(ISBLANK(B67),"",IF(B67="ALI",IF(I67="L",7,IF(I67="A",10,15)),IF(B67="AIE",IF(I67="L",5,IF(I67="A",7,10)),IF(B67="SE",IF(I67="L",4,IF(I67="A",5,7)),IF(OR(B67="EE",B67="CE"),IF(I67="L",3,IF(I67="A",4,6)),0)))))</f>
        <v/>
      </c>
      <c r="I67" s="110">
        <f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/>
      </c>
      <c r="J67" s="7">
        <f>CONCATENATE(B67,C67)</f>
        <v/>
      </c>
      <c r="K67" s="9">
        <f>IF(OR(H67="",H67=0),L67,H67)</f>
        <v/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/>
      </c>
      <c r="M67" s="10" t="n"/>
      <c r="N67" s="115" t="n"/>
      <c r="O67" s="6" t="n"/>
    </row>
    <row r="68">
      <c r="A68" s="112" t="n"/>
      <c r="B68" s="4" t="n"/>
      <c r="C68" s="4" t="n"/>
      <c r="D68" s="7" t="n"/>
      <c r="E68" s="7" t="n"/>
      <c r="F68" s="8">
        <f>IF(ISBLANK(B68),"",IF(I68="L","Baixa",IF(I68="A","Média",IF(I68="","","Alta"))))</f>
        <v/>
      </c>
      <c r="G68" s="7">
        <f>CONCATENATE(B68,I68)</f>
        <v/>
      </c>
      <c r="H68" s="5">
        <f>IF(ISBLANK(B68),"",IF(B68="ALI",IF(I68="L",7,IF(I68="A",10,15)),IF(B68="AIE",IF(I68="L",5,IF(I68="A",7,10)),IF(B68="SE",IF(I68="L",4,IF(I68="A",5,7)),IF(OR(B68="EE",B68="CE"),IF(I68="L",3,IF(I68="A",4,6)),0)))))</f>
        <v/>
      </c>
      <c r="I68" s="110">
        <f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/>
      </c>
      <c r="J68" s="7">
        <f>CONCATENATE(B68,C68)</f>
        <v/>
      </c>
      <c r="K68" s="9">
        <f>IF(OR(H68="",H68=0),L68,H68)</f>
        <v/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0" t="n"/>
      <c r="N68" s="115" t="n"/>
      <c r="O68" s="6" t="n"/>
    </row>
    <row r="69">
      <c r="A69" s="112" t="n"/>
      <c r="B69" s="4" t="n"/>
      <c r="C69" s="4" t="n"/>
      <c r="D69" s="7" t="n"/>
      <c r="E69" s="7" t="n"/>
      <c r="F69" s="8">
        <f>IF(ISBLANK(B69),"",IF(I69="L","Baixa",IF(I69="A","Média",IF(I69="","","Alta"))))</f>
        <v/>
      </c>
      <c r="G69" s="7">
        <f>CONCATENATE(B69,I69)</f>
        <v/>
      </c>
      <c r="H69" s="5">
        <f>IF(ISBLANK(B69),"",IF(B69="ALI",IF(I69="L",7,IF(I69="A",10,15)),IF(B69="AIE",IF(I69="L",5,IF(I69="A",7,10)),IF(B69="SE",IF(I69="L",4,IF(I69="A",5,7)),IF(OR(B69="EE",B69="CE"),IF(I69="L",3,IF(I69="A",4,6)),0)))))</f>
        <v/>
      </c>
      <c r="I69" s="110">
        <f>IF(OR(ISBLANK(D69),ISBLANK(E69)),IF(OR(B69="ALI",B69="AIE"),"L",IF(OR(B69="EE",B69="SE",B69="CE"),"A","")),IF(B69="EE",IF(E69&gt;=3,IF(D69&gt;=5,"H","A"),IF(E69&gt;=2,IF(D69&gt;=16,"H",IF(D69&lt;=4,"L","A")),IF(D69&lt;=15,"L","A"))),IF(OR(B69="SE",B69="CE"),IF(E69&gt;=4,IF(D69&gt;=6,"H","A"),IF(E69&gt;=2,IF(D69&gt;=20,"H",IF(D69&lt;=5,"L","A")),IF(D69&lt;=19,"L","A"))),IF(OR(B69="ALI",B69="AIE"),IF(E69&gt;=6,IF(D69&gt;=20,"H","A"),IF(E69&gt;=2,IF(D69&gt;=51,"H",IF(D69&lt;=19,"L","A")),IF(D69&lt;=50,"L","A"))),""))))</f>
        <v/>
      </c>
      <c r="J69" s="7">
        <f>CONCATENATE(B69,C69)</f>
        <v/>
      </c>
      <c r="K69" s="9">
        <f>IF(OR(H69="",H69=0),L69,H69)</f>
        <v/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0" t="n"/>
      <c r="N69" s="115" t="n"/>
      <c r="O69" s="6" t="n"/>
    </row>
    <row r="70">
      <c r="A70" s="112" t="n"/>
      <c r="B70" s="4" t="n"/>
      <c r="C70" s="4" t="n"/>
      <c r="D70" s="7" t="n"/>
      <c r="E70" s="7" t="n"/>
      <c r="F70" s="8">
        <f>IF(ISBLANK(B70),"",IF(I70="L","Baixa",IF(I70="A","Média",IF(I70="","","Alta"))))</f>
        <v/>
      </c>
      <c r="G70" s="7">
        <f>CONCATENATE(B70,I70)</f>
        <v/>
      </c>
      <c r="H70" s="5">
        <f>IF(ISBLANK(B70),"",IF(B70="ALI",IF(I70="L",7,IF(I70="A",10,15)),IF(B70="AIE",IF(I70="L",5,IF(I70="A",7,10)),IF(B70="SE",IF(I70="L",4,IF(I70="A",5,7)),IF(OR(B70="EE",B70="CE"),IF(I70="L",3,IF(I70="A",4,6)),0)))))</f>
        <v/>
      </c>
      <c r="I70" s="110">
        <f>IF(OR(ISBLANK(D70),ISBLANK(E70)),IF(OR(B70="ALI",B70="AIE"),"L",IF(OR(B70="EE",B70="SE",B70="CE"),"A","")),IF(B70="EE",IF(E70&gt;=3,IF(D70&gt;=5,"H","A"),IF(E70&gt;=2,IF(D70&gt;=16,"H",IF(D70&lt;=4,"L","A")),IF(D70&lt;=15,"L","A"))),IF(OR(B70="SE",B70="CE"),IF(E70&gt;=4,IF(D70&gt;=6,"H","A"),IF(E70&gt;=2,IF(D70&gt;=20,"H",IF(D70&lt;=5,"L","A")),IF(D70&lt;=19,"L","A"))),IF(OR(B70="ALI",B70="AIE"),IF(E70&gt;=6,IF(D70&gt;=20,"H","A"),IF(E70&gt;=2,IF(D70&gt;=51,"H",IF(D70&lt;=19,"L","A")),IF(D70&lt;=50,"L","A"))),""))))</f>
        <v/>
      </c>
      <c r="J70" s="7">
        <f>CONCATENATE(B70,C70)</f>
        <v/>
      </c>
      <c r="K70" s="9">
        <f>IF(OR(H70="",H70=0),L70,H70)</f>
        <v/>
      </c>
      <c r="L70" s="9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0" t="n"/>
      <c r="N70" s="115" t="n"/>
      <c r="O70" s="6" t="n"/>
    </row>
    <row r="71">
      <c r="A71" s="112" t="n"/>
      <c r="B71" s="4" t="n"/>
      <c r="C71" s="4" t="n"/>
      <c r="D71" s="7" t="n"/>
      <c r="E71" s="7" t="n"/>
      <c r="F71" s="8">
        <f>IF(ISBLANK(B71),"",IF(I71="L","Baixa",IF(I71="A","Média",IF(I71="","","Alta"))))</f>
        <v/>
      </c>
      <c r="G71" s="7">
        <f>CONCATENATE(B71,I71)</f>
        <v/>
      </c>
      <c r="H71" s="5">
        <f>IF(ISBLANK(B71),"",IF(B71="ALI",IF(I71="L",7,IF(I71="A",10,15)),IF(B71="AIE",IF(I71="L",5,IF(I71="A",7,10)),IF(B71="SE",IF(I71="L",4,IF(I71="A",5,7)),IF(OR(B71="EE",B71="CE"),IF(I71="L",3,IF(I71="A",4,6)),0)))))</f>
        <v/>
      </c>
      <c r="I71" s="110">
        <f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/>
      </c>
      <c r="J71" s="7">
        <f>CONCATENATE(B71,C71)</f>
        <v/>
      </c>
      <c r="K71" s="9">
        <f>IF(OR(H71="",H71=0),L71,H71)</f>
        <v/>
      </c>
      <c r="L71" s="9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0" t="n"/>
      <c r="N71" s="115" t="n"/>
      <c r="O71" s="6" t="n"/>
    </row>
    <row r="72">
      <c r="A72" s="112" t="n"/>
      <c r="B72" s="4" t="n"/>
      <c r="C72" s="4" t="n"/>
      <c r="D72" s="7" t="n"/>
      <c r="E72" s="7" t="n"/>
      <c r="F72" s="8">
        <f>IF(ISBLANK(B72),"",IF(I72="L","Baixa",IF(I72="A","Média",IF(I72="","","Alta"))))</f>
        <v/>
      </c>
      <c r="G72" s="7">
        <f>CONCATENATE(B72,I72)</f>
        <v/>
      </c>
      <c r="H72" s="5">
        <f>IF(ISBLANK(B72),"",IF(B72="ALI",IF(I72="L",7,IF(I72="A",10,15)),IF(B72="AIE",IF(I72="L",5,IF(I72="A",7,10)),IF(B72="SE",IF(I72="L",4,IF(I72="A",5,7)),IF(OR(B72="EE",B72="CE"),IF(I72="L",3,IF(I72="A",4,6)),0)))))</f>
        <v/>
      </c>
      <c r="I72" s="110">
        <f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/>
      </c>
      <c r="J72" s="7">
        <f>CONCATENATE(B72,C72)</f>
        <v/>
      </c>
      <c r="K72" s="9">
        <f>IF(OR(H72="",H72=0),L72,H72)</f>
        <v/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10" t="n"/>
      <c r="N72" s="115" t="n"/>
      <c r="O72" s="6" t="n"/>
    </row>
    <row r="73">
      <c r="A73" s="112" t="n"/>
      <c r="B73" s="4" t="n"/>
      <c r="C73" s="4" t="n"/>
      <c r="D73" s="7" t="n"/>
      <c r="E73" s="7" t="n"/>
      <c r="F73" s="8">
        <f>IF(ISBLANK(B73),"",IF(I73="L","Baixa",IF(I73="A","Média",IF(I73="","","Alta"))))</f>
        <v/>
      </c>
      <c r="G73" s="7">
        <f>CONCATENATE(B73,I73)</f>
        <v/>
      </c>
      <c r="H73" s="5">
        <f>IF(ISBLANK(B73),"",IF(B73="ALI",IF(I73="L",7,IF(I73="A",10,15)),IF(B73="AIE",IF(I73="L",5,IF(I73="A",7,10)),IF(B73="SE",IF(I73="L",4,IF(I73="A",5,7)),IF(OR(B73="EE",B73="CE"),IF(I73="L",3,IF(I73="A",4,6)),0)))))</f>
        <v/>
      </c>
      <c r="I73" s="110">
        <f>IF(OR(ISBLANK(D73),ISBLANK(E73)),IF(OR(B73="ALI",B73="AIE"),"L",IF(OR(B73="EE",B73="SE",B73="CE"),"A","")),IF(B73="EE",IF(E73&gt;=3,IF(D73&gt;=5,"H","A"),IF(E73&gt;=2,IF(D73&gt;=16,"H",IF(D73&lt;=4,"L","A")),IF(D73&lt;=15,"L","A"))),IF(OR(B73="SE",B73="CE"),IF(E73&gt;=4,IF(D73&gt;=6,"H","A"),IF(E73&gt;=2,IF(D73&gt;=20,"H",IF(D73&lt;=5,"L","A")),IF(D73&lt;=19,"L","A"))),IF(OR(B73="ALI",B73="AIE"),IF(E73&gt;=6,IF(D73&gt;=20,"H","A"),IF(E73&gt;=2,IF(D73&gt;=51,"H",IF(D73&lt;=19,"L","A")),IF(D73&lt;=50,"L","A"))),""))))</f>
        <v/>
      </c>
      <c r="J73" s="7">
        <f>CONCATENATE(B73,C73)</f>
        <v/>
      </c>
      <c r="K73" s="9">
        <f>IF(OR(H73="",H73=0),L73,H73)</f>
        <v/>
      </c>
      <c r="L73" s="9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0" t="n"/>
      <c r="N73" s="115" t="n"/>
      <c r="O73" s="6" t="n"/>
    </row>
    <row r="74">
      <c r="A74" s="112" t="n"/>
      <c r="B74" s="4" t="n"/>
      <c r="C74" s="4" t="n"/>
      <c r="D74" s="7" t="n"/>
      <c r="E74" s="7" t="n"/>
      <c r="F74" s="8">
        <f>IF(ISBLANK(B74),"",IF(I74="L","Baixa",IF(I74="A","Média",IF(I74="","","Alta"))))</f>
        <v/>
      </c>
      <c r="G74" s="7">
        <f>CONCATENATE(B74,I74)</f>
        <v/>
      </c>
      <c r="H74" s="5">
        <f>IF(ISBLANK(B74),"",IF(B74="ALI",IF(I74="L",7,IF(I74="A",10,15)),IF(B74="AIE",IF(I74="L",5,IF(I74="A",7,10)),IF(B74="SE",IF(I74="L",4,IF(I74="A",5,7)),IF(OR(B74="EE",B74="CE"),IF(I74="L",3,IF(I74="A",4,6)),0)))))</f>
        <v/>
      </c>
      <c r="I74" s="110">
        <f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/>
      </c>
      <c r="J74" s="7">
        <f>CONCATENATE(B74,C74)</f>
        <v/>
      </c>
      <c r="K74" s="9">
        <f>IF(OR(H74="",H74=0),L74,H74)</f>
        <v/>
      </c>
      <c r="L74" s="9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 t="n"/>
      <c r="N74" s="115" t="n"/>
      <c r="O74" s="6" t="n"/>
    </row>
    <row r="75">
      <c r="A75" s="112" t="n"/>
      <c r="B75" s="4" t="n"/>
      <c r="C75" s="4" t="n"/>
      <c r="D75" s="7" t="n"/>
      <c r="E75" s="7" t="n"/>
      <c r="F75" s="8">
        <f>IF(ISBLANK(B75),"",IF(I75="L","Baixa",IF(I75="A","Média",IF(I75="","","Alta"))))</f>
        <v/>
      </c>
      <c r="G75" s="7">
        <f>CONCATENATE(B75,I75)</f>
        <v/>
      </c>
      <c r="H75" s="5">
        <f>IF(ISBLANK(B75),"",IF(B75="ALI",IF(I75="L",7,IF(I75="A",10,15)),IF(B75="AIE",IF(I75="L",5,IF(I75="A",7,10)),IF(B75="SE",IF(I75="L",4,IF(I75="A",5,7)),IF(OR(B75="EE",B75="CE"),IF(I75="L",3,IF(I75="A",4,6)),0)))))</f>
        <v/>
      </c>
      <c r="I75" s="110">
        <f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/>
      </c>
      <c r="J75" s="7">
        <f>CONCATENATE(B75,C75)</f>
        <v/>
      </c>
      <c r="K75" s="9">
        <f>IF(OR(H75="",H75=0),L75,H75)</f>
        <v/>
      </c>
      <c r="L75" s="9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0" t="n"/>
      <c r="N75" s="115" t="n"/>
      <c r="O75" s="6" t="n"/>
    </row>
    <row r="76">
      <c r="A76" s="112" t="n"/>
      <c r="B76" s="4" t="n"/>
      <c r="C76" s="4" t="n"/>
      <c r="D76" s="7" t="n"/>
      <c r="E76" s="7" t="n"/>
      <c r="F76" s="8">
        <f>IF(ISBLANK(B76),"",IF(I76="L","Baixa",IF(I76="A","Média",IF(I76="","","Alta"))))</f>
        <v/>
      </c>
      <c r="G76" s="7">
        <f>CONCATENATE(B76,I76)</f>
        <v/>
      </c>
      <c r="H76" s="5">
        <f>IF(ISBLANK(B76),"",IF(B76="ALI",IF(I76="L",7,IF(I76="A",10,15)),IF(B76="AIE",IF(I76="L",5,IF(I76="A",7,10)),IF(B76="SE",IF(I76="L",4,IF(I76="A",5,7)),IF(OR(B76="EE",B76="CE"),IF(I76="L",3,IF(I76="A",4,6)),0)))))</f>
        <v/>
      </c>
      <c r="I76" s="110">
        <f>IF(OR(ISBLANK(D76),ISBLANK(E76)),IF(OR(B76="ALI",B76="AIE"),"L",IF(OR(B76="EE",B76="SE",B76="CE"),"A","")),IF(B76="EE",IF(E76&gt;=3,IF(D76&gt;=5,"H","A"),IF(E76&gt;=2,IF(D76&gt;=16,"H",IF(D76&lt;=4,"L","A")),IF(D76&lt;=15,"L","A"))),IF(OR(B76="SE",B76="CE"),IF(E76&gt;=4,IF(D76&gt;=6,"H","A"),IF(E76&gt;=2,IF(D76&gt;=20,"H",IF(D76&lt;=5,"L","A")),IF(D76&lt;=19,"L","A"))),IF(OR(B76="ALI",B76="AIE"),IF(E76&gt;=6,IF(D76&gt;=20,"H","A"),IF(E76&gt;=2,IF(D76&gt;=51,"H",IF(D76&lt;=19,"L","A")),IF(D76&lt;=50,"L","A"))),""))))</f>
        <v/>
      </c>
      <c r="J76" s="7">
        <f>CONCATENATE(B76,C76)</f>
        <v/>
      </c>
      <c r="K76" s="9">
        <f>IF(OR(H76="",H76=0),L76,H76)</f>
        <v/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0" t="n"/>
      <c r="N76" s="115" t="n"/>
      <c r="O76" s="6" t="n"/>
    </row>
    <row r="77">
      <c r="A77" s="112" t="n"/>
      <c r="B77" s="4" t="n"/>
      <c r="C77" s="4" t="n"/>
      <c r="D77" s="7" t="n"/>
      <c r="E77" s="7" t="n"/>
      <c r="F77" s="8">
        <f>IF(ISBLANK(B77),"",IF(I77="L","Baixa",IF(I77="A","Média",IF(I77="","","Alta"))))</f>
        <v/>
      </c>
      <c r="G77" s="7">
        <f>CONCATENATE(B77,I77)</f>
        <v/>
      </c>
      <c r="H77" s="5">
        <f>IF(ISBLANK(B77),"",IF(B77="ALI",IF(I77="L",7,IF(I77="A",10,15)),IF(B77="AIE",IF(I77="L",5,IF(I77="A",7,10)),IF(B77="SE",IF(I77="L",4,IF(I77="A",5,7)),IF(OR(B77="EE",B77="CE"),IF(I77="L",3,IF(I77="A",4,6)),0)))))</f>
        <v/>
      </c>
      <c r="I77" s="110">
        <f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/>
      </c>
      <c r="J77" s="7">
        <f>CONCATENATE(B77,C77)</f>
        <v/>
      </c>
      <c r="K77" s="9">
        <f>IF(OR(H77="",H77=0),L77,H77)</f>
        <v/>
      </c>
      <c r="L77" s="9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0" t="n"/>
      <c r="N77" s="115" t="n"/>
      <c r="O77" s="6" t="n"/>
    </row>
    <row r="78">
      <c r="A78" s="112" t="n"/>
      <c r="B78" s="4" t="n"/>
      <c r="C78" s="4" t="n"/>
      <c r="D78" s="7" t="n"/>
      <c r="E78" s="7" t="n"/>
      <c r="F78" s="8">
        <f>IF(ISBLANK(B78),"",IF(I78="L","Baixa",IF(I78="A","Média",IF(I78="","","Alta"))))</f>
        <v/>
      </c>
      <c r="G78" s="7">
        <f>CONCATENATE(B78,I78)</f>
        <v/>
      </c>
      <c r="H78" s="5">
        <f>IF(ISBLANK(B78),"",IF(B78="ALI",IF(I78="L",7,IF(I78="A",10,15)),IF(B78="AIE",IF(I78="L",5,IF(I78="A",7,10)),IF(B78="SE",IF(I78="L",4,IF(I78="A",5,7)),IF(OR(B78="EE",B78="CE"),IF(I78="L",3,IF(I78="A",4,6)),0)))))</f>
        <v/>
      </c>
      <c r="I78" s="110">
        <f>IF(OR(ISBLANK(D78),ISBLANK(E78)),IF(OR(B78="ALI",B78="AIE"),"L",IF(OR(B78="EE",B78="SE",B78="CE"),"A","")),IF(B78="EE",IF(E78&gt;=3,IF(D78&gt;=5,"H","A"),IF(E78&gt;=2,IF(D78&gt;=16,"H",IF(D78&lt;=4,"L","A")),IF(D78&lt;=15,"L","A"))),IF(OR(B78="SE",B78="CE"),IF(E78&gt;=4,IF(D78&gt;=6,"H","A"),IF(E78&gt;=2,IF(D78&gt;=20,"H",IF(D78&lt;=5,"L","A")),IF(D78&lt;=19,"L","A"))),IF(OR(B78="ALI",B78="AIE"),IF(E78&gt;=6,IF(D78&gt;=20,"H","A"),IF(E78&gt;=2,IF(D78&gt;=51,"H",IF(D78&lt;=19,"L","A")),IF(D78&lt;=50,"L","A"))),""))))</f>
        <v/>
      </c>
      <c r="J78" s="7">
        <f>CONCATENATE(B78,C78)</f>
        <v/>
      </c>
      <c r="K78" s="9">
        <f>IF(OR(H78="",H78=0),L78,H78)</f>
        <v/>
      </c>
      <c r="L78" s="9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0" t="n"/>
      <c r="N78" s="115" t="n"/>
      <c r="O78" s="6" t="n"/>
    </row>
    <row r="79">
      <c r="A79" s="112" t="n"/>
      <c r="B79" s="4" t="n"/>
      <c r="C79" s="4" t="n"/>
      <c r="D79" s="7" t="n"/>
      <c r="E79" s="7" t="n"/>
      <c r="F79" s="8">
        <f>IF(ISBLANK(B79),"",IF(I79="L","Baixa",IF(I79="A","Média",IF(I79="","","Alta"))))</f>
        <v/>
      </c>
      <c r="G79" s="7">
        <f>CONCATENATE(B79,I79)</f>
        <v/>
      </c>
      <c r="H79" s="5">
        <f>IF(ISBLANK(B79),"",IF(B79="ALI",IF(I79="L",7,IF(I79="A",10,15)),IF(B79="AIE",IF(I79="L",5,IF(I79="A",7,10)),IF(B79="SE",IF(I79="L",4,IF(I79="A",5,7)),IF(OR(B79="EE",B79="CE"),IF(I79="L",3,IF(I79="A",4,6)),0)))))</f>
        <v/>
      </c>
      <c r="I79" s="110">
        <f>IF(OR(ISBLANK(D79),ISBLANK(E79)),IF(OR(B79="ALI",B79="AIE"),"L",IF(OR(B79="EE",B79="SE",B79="CE"),"A","")),IF(B79="EE",IF(E79&gt;=3,IF(D79&gt;=5,"H","A"),IF(E79&gt;=2,IF(D79&gt;=16,"H",IF(D79&lt;=4,"L","A")),IF(D79&lt;=15,"L","A"))),IF(OR(B79="SE",B79="CE"),IF(E79&gt;=4,IF(D79&gt;=6,"H","A"),IF(E79&gt;=2,IF(D79&gt;=20,"H",IF(D79&lt;=5,"L","A")),IF(D79&lt;=19,"L","A"))),IF(OR(B79="ALI",B79="AIE"),IF(E79&gt;=6,IF(D79&gt;=20,"H","A"),IF(E79&gt;=2,IF(D79&gt;=51,"H",IF(D79&lt;=19,"L","A")),IF(D79&lt;=50,"L","A"))),""))))</f>
        <v/>
      </c>
      <c r="J79" s="7">
        <f>CONCATENATE(B79,C79)</f>
        <v/>
      </c>
      <c r="K79" s="9">
        <f>IF(OR(H79="",H79=0),L79,H79)</f>
        <v/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10" t="n"/>
      <c r="N79" s="115" t="n"/>
      <c r="O79" s="6" t="n"/>
    </row>
    <row r="80">
      <c r="A80" s="112" t="n"/>
      <c r="B80" s="4" t="n"/>
      <c r="C80" s="4" t="n"/>
      <c r="D80" s="7" t="n"/>
      <c r="E80" s="7" t="n"/>
      <c r="F80" s="8">
        <f>IF(ISBLANK(B80),"",IF(I80="L","Baixa",IF(I80="A","Média",IF(I80="","","Alta"))))</f>
        <v/>
      </c>
      <c r="G80" s="7">
        <f>CONCATENATE(B80,I80)</f>
        <v/>
      </c>
      <c r="H80" s="5">
        <f>IF(ISBLANK(B80),"",IF(B80="ALI",IF(I80="L",7,IF(I80="A",10,15)),IF(B80="AIE",IF(I80="L",5,IF(I80="A",7,10)),IF(B80="SE",IF(I80="L",4,IF(I80="A",5,7)),IF(OR(B80="EE",B80="CE"),IF(I80="L",3,IF(I80="A",4,6)),0)))))</f>
        <v/>
      </c>
      <c r="I80" s="110">
        <f>IF(OR(ISBLANK(D80),ISBLANK(E80)),IF(OR(B80="ALI",B80="AIE"),"L",IF(OR(B80="EE",B80="SE",B80="CE"),"A","")),IF(B80="EE",IF(E80&gt;=3,IF(D80&gt;=5,"H","A"),IF(E80&gt;=2,IF(D80&gt;=16,"H",IF(D80&lt;=4,"L","A")),IF(D80&lt;=15,"L","A"))),IF(OR(B80="SE",B80="CE"),IF(E80&gt;=4,IF(D80&gt;=6,"H","A"),IF(E80&gt;=2,IF(D80&gt;=20,"H",IF(D80&lt;=5,"L","A")),IF(D80&lt;=19,"L","A"))),IF(OR(B80="ALI",B80="AIE"),IF(E80&gt;=6,IF(D80&gt;=20,"H","A"),IF(E80&gt;=2,IF(D80&gt;=51,"H",IF(D80&lt;=19,"L","A")),IF(D80&lt;=50,"L","A"))),""))))</f>
        <v/>
      </c>
      <c r="J80" s="7">
        <f>CONCATENATE(B80,C80)</f>
        <v/>
      </c>
      <c r="K80" s="9">
        <f>IF(OR(H80="",H80=0),L80,H80)</f>
        <v/>
      </c>
      <c r="L80" s="9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 t="n"/>
      <c r="N80" s="115" t="n"/>
      <c r="O80" s="6" t="n"/>
    </row>
    <row r="81">
      <c r="A81" s="112" t="n"/>
      <c r="B81" s="4" t="n"/>
      <c r="C81" s="4" t="n"/>
      <c r="D81" s="7" t="n"/>
      <c r="E81" s="7" t="n"/>
      <c r="F81" s="8">
        <f>IF(ISBLANK(B81),"",IF(I81="L","Baixa",IF(I81="A","Média",IF(I81="","","Alta"))))</f>
        <v/>
      </c>
      <c r="G81" s="7">
        <f>CONCATENATE(B81,I81)</f>
        <v/>
      </c>
      <c r="H81" s="5">
        <f>IF(ISBLANK(B81),"",IF(B81="ALI",IF(I81="L",7,IF(I81="A",10,15)),IF(B81="AIE",IF(I81="L",5,IF(I81="A",7,10)),IF(B81="SE",IF(I81="L",4,IF(I81="A",5,7)),IF(OR(B81="EE",B81="CE"),IF(I81="L",3,IF(I81="A",4,6)),0)))))</f>
        <v/>
      </c>
      <c r="I81" s="110">
        <f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/>
      </c>
      <c r="J81" s="7">
        <f>CONCATENATE(B81,C81)</f>
        <v/>
      </c>
      <c r="K81" s="9">
        <f>IF(OR(H81="",H81=0),L81,H81)</f>
        <v/>
      </c>
      <c r="L81" s="9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 t="n"/>
      <c r="N81" s="115" t="n"/>
      <c r="O81" s="6" t="n"/>
    </row>
    <row r="82">
      <c r="A82" s="112" t="n"/>
      <c r="B82" s="4" t="n"/>
      <c r="C82" s="4" t="n"/>
      <c r="D82" s="7" t="n"/>
      <c r="E82" s="7" t="n"/>
      <c r="F82" s="8">
        <f>IF(ISBLANK(B82),"",IF(I82="L","Baixa",IF(I82="A","Média",IF(I82="","","Alta"))))</f>
        <v/>
      </c>
      <c r="G82" s="7">
        <f>CONCATENATE(B82,I82)</f>
        <v/>
      </c>
      <c r="H82" s="5">
        <f>IF(ISBLANK(B82),"",IF(B82="ALI",IF(I82="L",7,IF(I82="A",10,15)),IF(B82="AIE",IF(I82="L",5,IF(I82="A",7,10)),IF(B82="SE",IF(I82="L",4,IF(I82="A",5,7)),IF(OR(B82="EE",B82="CE"),IF(I82="L",3,IF(I82="A",4,6)),0)))))</f>
        <v/>
      </c>
      <c r="I82" s="110">
        <f>IF(OR(ISBLANK(D82),ISBLANK(E82)),IF(OR(B82="ALI",B82="AIE"),"L",IF(OR(B82="EE",B82="SE",B82="CE"),"A","")),IF(B82="EE",IF(E82&gt;=3,IF(D82&gt;=5,"H","A"),IF(E82&gt;=2,IF(D82&gt;=16,"H",IF(D82&lt;=4,"L","A")),IF(D82&lt;=15,"L","A"))),IF(OR(B82="SE",B82="CE"),IF(E82&gt;=4,IF(D82&gt;=6,"H","A"),IF(E82&gt;=2,IF(D82&gt;=20,"H",IF(D82&lt;=5,"L","A")),IF(D82&lt;=19,"L","A"))),IF(OR(B82="ALI",B82="AIE"),IF(E82&gt;=6,IF(D82&gt;=20,"H","A"),IF(E82&gt;=2,IF(D82&gt;=51,"H",IF(D82&lt;=19,"L","A")),IF(D82&lt;=50,"L","A"))),""))))</f>
        <v/>
      </c>
      <c r="J82" s="7">
        <f>CONCATENATE(B82,C82)</f>
        <v/>
      </c>
      <c r="K82" s="9">
        <f>IF(OR(H82="",H82=0),L82,H82)</f>
        <v/>
      </c>
      <c r="L82" s="9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 t="n"/>
      <c r="N82" s="115" t="n"/>
      <c r="O82" s="6" t="n"/>
    </row>
    <row r="83">
      <c r="A83" s="112" t="n"/>
      <c r="B83" s="4" t="n"/>
      <c r="C83" s="4" t="n"/>
      <c r="D83" s="7" t="n"/>
      <c r="E83" s="7" t="n"/>
      <c r="F83" s="8">
        <f>IF(ISBLANK(B83),"",IF(I83="L","Baixa",IF(I83="A","Média",IF(I83="","","Alta"))))</f>
        <v/>
      </c>
      <c r="G83" s="7">
        <f>CONCATENATE(B83,I83)</f>
        <v/>
      </c>
      <c r="H83" s="5">
        <f>IF(ISBLANK(B83),"",IF(B83="ALI",IF(I83="L",7,IF(I83="A",10,15)),IF(B83="AIE",IF(I83="L",5,IF(I83="A",7,10)),IF(B83="SE",IF(I83="L",4,IF(I83="A",5,7)),IF(OR(B83="EE",B83="CE"),IF(I83="L",3,IF(I83="A",4,6)),0)))))</f>
        <v/>
      </c>
      <c r="I83" s="110">
        <f>IF(OR(ISBLANK(D83),ISBLANK(E83)),IF(OR(B83="ALI",B83="AIE"),"L",IF(OR(B83="EE",B83="SE",B83="CE"),"A","")),IF(B83="EE",IF(E83&gt;=3,IF(D83&gt;=5,"H","A"),IF(E83&gt;=2,IF(D83&gt;=16,"H",IF(D83&lt;=4,"L","A")),IF(D83&lt;=15,"L","A"))),IF(OR(B83="SE",B83="CE"),IF(E83&gt;=4,IF(D83&gt;=6,"H","A"),IF(E83&gt;=2,IF(D83&gt;=20,"H",IF(D83&lt;=5,"L","A")),IF(D83&lt;=19,"L","A"))),IF(OR(B83="ALI",B83="AIE"),IF(E83&gt;=6,IF(D83&gt;=20,"H","A"),IF(E83&gt;=2,IF(D83&gt;=51,"H",IF(D83&lt;=19,"L","A")),IF(D83&lt;=50,"L","A"))),""))))</f>
        <v/>
      </c>
      <c r="J83" s="7">
        <f>CONCATENATE(B83,C83)</f>
        <v/>
      </c>
      <c r="K83" s="9">
        <f>IF(OR(H83="",H83=0),L83,H83)</f>
        <v/>
      </c>
      <c r="L83" s="9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 t="n"/>
      <c r="N83" s="115" t="n"/>
      <c r="O83" s="6" t="n"/>
    </row>
    <row r="84">
      <c r="A84" s="112" t="n"/>
      <c r="B84" s="4" t="n"/>
      <c r="C84" s="4" t="n"/>
      <c r="D84" s="7" t="n"/>
      <c r="E84" s="7" t="n"/>
      <c r="F84" s="8">
        <f>IF(ISBLANK(B84),"",IF(I84="L","Baixa",IF(I84="A","Média",IF(I84="","","Alta"))))</f>
        <v/>
      </c>
      <c r="G84" s="7">
        <f>CONCATENATE(B84,I84)</f>
        <v/>
      </c>
      <c r="H84" s="5">
        <f>IF(ISBLANK(B84),"",IF(B84="ALI",IF(I84="L",7,IF(I84="A",10,15)),IF(B84="AIE",IF(I84="L",5,IF(I84="A",7,10)),IF(B84="SE",IF(I84="L",4,IF(I84="A",5,7)),IF(OR(B84="EE",B84="CE"),IF(I84="L",3,IF(I84="A",4,6)),0)))))</f>
        <v/>
      </c>
      <c r="I84" s="110">
        <f>IF(OR(ISBLANK(D84),ISBLANK(E84)),IF(OR(B84="ALI",B84="AIE"),"L",IF(OR(B84="EE",B84="SE",B84="CE"),"A","")),IF(B84="EE",IF(E84&gt;=3,IF(D84&gt;=5,"H","A"),IF(E84&gt;=2,IF(D84&gt;=16,"H",IF(D84&lt;=4,"L","A")),IF(D84&lt;=15,"L","A"))),IF(OR(B84="SE",B84="CE"),IF(E84&gt;=4,IF(D84&gt;=6,"H","A"),IF(E84&gt;=2,IF(D84&gt;=20,"H",IF(D84&lt;=5,"L","A")),IF(D84&lt;=19,"L","A"))),IF(OR(B84="ALI",B84="AIE"),IF(E84&gt;=6,IF(D84&gt;=20,"H","A"),IF(E84&gt;=2,IF(D84&gt;=51,"H",IF(D84&lt;=19,"L","A")),IF(D84&lt;=50,"L","A"))),""))))</f>
        <v/>
      </c>
      <c r="J84" s="7">
        <f>CONCATENATE(B84,C84)</f>
        <v/>
      </c>
      <c r="K84" s="9">
        <f>IF(OR(H84="",H84=0),L84,H84)</f>
        <v/>
      </c>
      <c r="L84" s="9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0" t="n"/>
      <c r="N84" s="115" t="n"/>
      <c r="O84" s="6" t="n"/>
    </row>
    <row r="85">
      <c r="A85" s="112" t="n"/>
      <c r="B85" s="4" t="n"/>
      <c r="C85" s="4" t="n"/>
      <c r="D85" s="7" t="n"/>
      <c r="E85" s="7" t="n"/>
      <c r="F85" s="8">
        <f>IF(ISBLANK(B85),"",IF(I85="L","Baixa",IF(I85="A","Média",IF(I85="","","Alta"))))</f>
        <v/>
      </c>
      <c r="G85" s="7">
        <f>CONCATENATE(B85,I85)</f>
        <v/>
      </c>
      <c r="H85" s="5">
        <f>IF(ISBLANK(B85),"",IF(B85="ALI",IF(I85="L",7,IF(I85="A",10,15)),IF(B85="AIE",IF(I85="L",5,IF(I85="A",7,10)),IF(B85="SE",IF(I85="L",4,IF(I85="A",5,7)),IF(OR(B85="EE",B85="CE"),IF(I85="L",3,IF(I85="A",4,6)),0)))))</f>
        <v/>
      </c>
      <c r="I85" s="110">
        <f>IF(OR(ISBLANK(D85),ISBLANK(E85)),IF(OR(B85="ALI",B85="AIE"),"L",IF(OR(B85="EE",B85="SE",B85="CE"),"A","")),IF(B85="EE",IF(E85&gt;=3,IF(D85&gt;=5,"H","A"),IF(E85&gt;=2,IF(D85&gt;=16,"H",IF(D85&lt;=4,"L","A")),IF(D85&lt;=15,"L","A"))),IF(OR(B85="SE",B85="CE"),IF(E85&gt;=4,IF(D85&gt;=6,"H","A"),IF(E85&gt;=2,IF(D85&gt;=20,"H",IF(D85&lt;=5,"L","A")),IF(D85&lt;=19,"L","A"))),IF(OR(B85="ALI",B85="AIE"),IF(E85&gt;=6,IF(D85&gt;=20,"H","A"),IF(E85&gt;=2,IF(D85&gt;=51,"H",IF(D85&lt;=19,"L","A")),IF(D85&lt;=50,"L","A"))),""))))</f>
        <v/>
      </c>
      <c r="J85" s="7">
        <f>CONCATENATE(B85,C85)</f>
        <v/>
      </c>
      <c r="K85" s="9">
        <f>IF(OR(H85="",H85=0),L85,H85)</f>
        <v/>
      </c>
      <c r="L85" s="9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0" t="n"/>
      <c r="N85" s="115" t="n"/>
      <c r="O85" s="6" t="n"/>
    </row>
    <row r="86">
      <c r="A86" s="112" t="n"/>
      <c r="B86" s="4" t="n"/>
      <c r="C86" s="4" t="n"/>
      <c r="D86" s="7" t="n"/>
      <c r="E86" s="7" t="n"/>
      <c r="F86" s="8">
        <f>IF(ISBLANK(B86),"",IF(I86="L","Baixa",IF(I86="A","Média",IF(I86="","","Alta"))))</f>
        <v/>
      </c>
      <c r="G86" s="7">
        <f>CONCATENATE(B86,I86)</f>
        <v/>
      </c>
      <c r="H86" s="5">
        <f>IF(ISBLANK(B86),"",IF(B86="ALI",IF(I86="L",7,IF(I86="A",10,15)),IF(B86="AIE",IF(I86="L",5,IF(I86="A",7,10)),IF(B86="SE",IF(I86="L",4,IF(I86="A",5,7)),IF(OR(B86="EE",B86="CE"),IF(I86="L",3,IF(I86="A",4,6)),0)))))</f>
        <v/>
      </c>
      <c r="I86" s="110">
        <f>IF(OR(ISBLANK(D86),ISBLANK(E86)),IF(OR(B86="ALI",B86="AIE"),"L",IF(OR(B86="EE",B86="SE",B86="CE"),"A","")),IF(B86="EE",IF(E86&gt;=3,IF(D86&gt;=5,"H","A"),IF(E86&gt;=2,IF(D86&gt;=16,"H",IF(D86&lt;=4,"L","A")),IF(D86&lt;=15,"L","A"))),IF(OR(B86="SE",B86="CE"),IF(E86&gt;=4,IF(D86&gt;=6,"H","A"),IF(E86&gt;=2,IF(D86&gt;=20,"H",IF(D86&lt;=5,"L","A")),IF(D86&lt;=19,"L","A"))),IF(OR(B86="ALI",B86="AIE"),IF(E86&gt;=6,IF(D86&gt;=20,"H","A"),IF(E86&gt;=2,IF(D86&gt;=51,"H",IF(D86&lt;=19,"L","A")),IF(D86&lt;=50,"L","A"))),""))))</f>
        <v/>
      </c>
      <c r="J86" s="7">
        <f>CONCATENATE(B86,C86)</f>
        <v/>
      </c>
      <c r="K86" s="9">
        <f>IF(OR(H86="",H86=0),L86,H86)</f>
        <v/>
      </c>
      <c r="L86" s="9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 t="n"/>
      <c r="N86" s="115" t="n"/>
      <c r="O86" s="6" t="n"/>
    </row>
    <row r="87">
      <c r="A87" s="112" t="n"/>
      <c r="B87" s="4" t="n"/>
      <c r="C87" s="4" t="n"/>
      <c r="D87" s="7" t="n"/>
      <c r="E87" s="7" t="n"/>
      <c r="F87" s="8">
        <f>IF(ISBLANK(B87),"",IF(I87="L","Baixa",IF(I87="A","Média",IF(I87="","","Alta"))))</f>
        <v/>
      </c>
      <c r="G87" s="7">
        <f>CONCATENATE(B87,I87)</f>
        <v/>
      </c>
      <c r="H87" s="5">
        <f>IF(ISBLANK(B87),"",IF(B87="ALI",IF(I87="L",7,IF(I87="A",10,15)),IF(B87="AIE",IF(I87="L",5,IF(I87="A",7,10)),IF(B87="SE",IF(I87="L",4,IF(I87="A",5,7)),IF(OR(B87="EE",B87="CE"),IF(I87="L",3,IF(I87="A",4,6)),0)))))</f>
        <v/>
      </c>
      <c r="I87" s="110">
        <f>IF(OR(ISBLANK(D87),ISBLANK(E87)),IF(OR(B87="ALI",B87="AIE"),"L",IF(OR(B87="EE",B87="SE",B87="CE"),"A","")),IF(B87="EE",IF(E87&gt;=3,IF(D87&gt;=5,"H","A"),IF(E87&gt;=2,IF(D87&gt;=16,"H",IF(D87&lt;=4,"L","A")),IF(D87&lt;=15,"L","A"))),IF(OR(B87="SE",B87="CE"),IF(E87&gt;=4,IF(D87&gt;=6,"H","A"),IF(E87&gt;=2,IF(D87&gt;=20,"H",IF(D87&lt;=5,"L","A")),IF(D87&lt;=19,"L","A"))),IF(OR(B87="ALI",B87="AIE"),IF(E87&gt;=6,IF(D87&gt;=20,"H","A"),IF(E87&gt;=2,IF(D87&gt;=51,"H",IF(D87&lt;=19,"L","A")),IF(D87&lt;=50,"L","A"))),""))))</f>
        <v/>
      </c>
      <c r="J87" s="7">
        <f>CONCATENATE(B87,C87)</f>
        <v/>
      </c>
      <c r="K87" s="9">
        <f>IF(OR(H87="",H87=0),L87,H87)</f>
        <v/>
      </c>
      <c r="L87" s="9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 t="n"/>
      <c r="N87" s="115" t="n"/>
      <c r="O87" s="6" t="n"/>
    </row>
    <row r="88">
      <c r="A88" s="112" t="n"/>
      <c r="B88" s="4" t="n"/>
      <c r="C88" s="4" t="n"/>
      <c r="D88" s="7" t="n"/>
      <c r="E88" s="7" t="n"/>
      <c r="F88" s="8">
        <f>IF(ISBLANK(B88),"",IF(I88="L","Baixa",IF(I88="A","Média",IF(I88="","","Alta"))))</f>
        <v/>
      </c>
      <c r="G88" s="7">
        <f>CONCATENATE(B88,I88)</f>
        <v/>
      </c>
      <c r="H88" s="5">
        <f>IF(ISBLANK(B88),"",IF(B88="ALI",IF(I88="L",7,IF(I88="A",10,15)),IF(B88="AIE",IF(I88="L",5,IF(I88="A",7,10)),IF(B88="SE",IF(I88="L",4,IF(I88="A",5,7)),IF(OR(B88="EE",B88="CE"),IF(I88="L",3,IF(I88="A",4,6)),0)))))</f>
        <v/>
      </c>
      <c r="I88" s="110">
        <f>IF(OR(ISBLANK(D88),ISBLANK(E88)),IF(OR(B88="ALI",B88="AIE"),"L",IF(OR(B88="EE",B88="SE",B88="CE"),"A","")),IF(B88="EE",IF(E88&gt;=3,IF(D88&gt;=5,"H","A"),IF(E88&gt;=2,IF(D88&gt;=16,"H",IF(D88&lt;=4,"L","A")),IF(D88&lt;=15,"L","A"))),IF(OR(B88="SE",B88="CE"),IF(E88&gt;=4,IF(D88&gt;=6,"H","A"),IF(E88&gt;=2,IF(D88&gt;=20,"H",IF(D88&lt;=5,"L","A")),IF(D88&lt;=19,"L","A"))),IF(OR(B88="ALI",B88="AIE"),IF(E88&gt;=6,IF(D88&gt;=20,"H","A"),IF(E88&gt;=2,IF(D88&gt;=51,"H",IF(D88&lt;=19,"L","A")),IF(D88&lt;=50,"L","A"))),""))))</f>
        <v/>
      </c>
      <c r="J88" s="7">
        <f>CONCATENATE(B88,C88)</f>
        <v/>
      </c>
      <c r="K88" s="9">
        <f>IF(OR(H88="",H88=0),L88,H88)</f>
        <v/>
      </c>
      <c r="L88" s="9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0" t="n"/>
      <c r="N88" s="115" t="n"/>
      <c r="O88" s="6" t="n"/>
    </row>
    <row r="89">
      <c r="A89" s="112" t="n"/>
      <c r="B89" s="4" t="n"/>
      <c r="C89" s="4" t="n"/>
      <c r="D89" s="7" t="n"/>
      <c r="E89" s="7" t="n"/>
      <c r="F89" s="8">
        <f>IF(ISBLANK(B89),"",IF(I89="L","Baixa",IF(I89="A","Média",IF(I89="","","Alta"))))</f>
        <v/>
      </c>
      <c r="G89" s="7">
        <f>CONCATENATE(B89,I89)</f>
        <v/>
      </c>
      <c r="H89" s="5">
        <f>IF(ISBLANK(B89),"",IF(B89="ALI",IF(I89="L",7,IF(I89="A",10,15)),IF(B89="AIE",IF(I89="L",5,IF(I89="A",7,10)),IF(B89="SE",IF(I89="L",4,IF(I89="A",5,7)),IF(OR(B89="EE",B89="CE"),IF(I89="L",3,IF(I89="A",4,6)),0)))))</f>
        <v/>
      </c>
      <c r="I89" s="110">
        <f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/>
      </c>
      <c r="J89" s="7">
        <f>CONCATENATE(B89,C89)</f>
        <v/>
      </c>
      <c r="K89" s="9">
        <f>IF(OR(H89="",H89=0),L89,H89)</f>
        <v/>
      </c>
      <c r="L89" s="9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0" t="n"/>
      <c r="N89" s="115" t="n"/>
      <c r="O89" s="6" t="n"/>
    </row>
    <row r="90">
      <c r="A90" s="112" t="n"/>
      <c r="B90" s="4" t="n"/>
      <c r="C90" s="4" t="n"/>
      <c r="D90" s="7" t="n"/>
      <c r="E90" s="7" t="n"/>
      <c r="F90" s="8">
        <f>IF(ISBLANK(B90),"",IF(I90="L","Baixa",IF(I90="A","Média",IF(I90="","","Alta"))))</f>
        <v/>
      </c>
      <c r="G90" s="7">
        <f>CONCATENATE(B90,I90)</f>
        <v/>
      </c>
      <c r="H90" s="5">
        <f>IF(ISBLANK(B90),"",IF(B90="ALI",IF(I90="L",7,IF(I90="A",10,15)),IF(B90="AIE",IF(I90="L",5,IF(I90="A",7,10)),IF(B90="SE",IF(I90="L",4,IF(I90="A",5,7)),IF(OR(B90="EE",B90="CE"),IF(I90="L",3,IF(I90="A",4,6)),0)))))</f>
        <v/>
      </c>
      <c r="I90" s="110">
        <f>IF(OR(ISBLANK(D90),ISBLANK(E90)),IF(OR(B90="ALI",B90="AIE"),"L",IF(OR(B90="EE",B90="SE",B90="CE"),"A","")),IF(B90="EE",IF(E90&gt;=3,IF(D90&gt;=5,"H","A"),IF(E90&gt;=2,IF(D90&gt;=16,"H",IF(D90&lt;=4,"L","A")),IF(D90&lt;=15,"L","A"))),IF(OR(B90="SE",B90="CE"),IF(E90&gt;=4,IF(D90&gt;=6,"H","A"),IF(E90&gt;=2,IF(D90&gt;=20,"H",IF(D90&lt;=5,"L","A")),IF(D90&lt;=19,"L","A"))),IF(OR(B90="ALI",B90="AIE"),IF(E90&gt;=6,IF(D90&gt;=20,"H","A"),IF(E90&gt;=2,IF(D90&gt;=51,"H",IF(D90&lt;=19,"L","A")),IF(D90&lt;=50,"L","A"))),""))))</f>
        <v/>
      </c>
      <c r="J90" s="7">
        <f>CONCATENATE(B90,C90)</f>
        <v/>
      </c>
      <c r="K90" s="9">
        <f>IF(OR(H90="",H90=0),L90,H90)</f>
        <v/>
      </c>
      <c r="L90" s="9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0" t="n"/>
      <c r="N90" s="115" t="n"/>
      <c r="O90" s="6" t="n"/>
    </row>
    <row r="91">
      <c r="A91" s="112" t="n"/>
      <c r="B91" s="4" t="n"/>
      <c r="C91" s="4" t="n"/>
      <c r="D91" s="7" t="n"/>
      <c r="E91" s="7" t="n"/>
      <c r="F91" s="8">
        <f>IF(ISBLANK(B91),"",IF(I91="L","Baixa",IF(I91="A","Média",IF(I91="","","Alta"))))</f>
        <v/>
      </c>
      <c r="G91" s="7">
        <f>CONCATENATE(B91,I91)</f>
        <v/>
      </c>
      <c r="H91" s="5">
        <f>IF(ISBLANK(B91),"",IF(B91="ALI",IF(I91="L",7,IF(I91="A",10,15)),IF(B91="AIE",IF(I91="L",5,IF(I91="A",7,10)),IF(B91="SE",IF(I91="L",4,IF(I91="A",5,7)),IF(OR(B91="EE",B91="CE"),IF(I91="L",3,IF(I91="A",4,6)),0)))))</f>
        <v/>
      </c>
      <c r="I91" s="110">
        <f>IF(OR(ISBLANK(D91),ISBLANK(E91)),IF(OR(B91="ALI",B91="AIE"),"L",IF(OR(B91="EE",B91="SE",B91="CE"),"A","")),IF(B91="EE",IF(E91&gt;=3,IF(D91&gt;=5,"H","A"),IF(E91&gt;=2,IF(D91&gt;=16,"H",IF(D91&lt;=4,"L","A")),IF(D91&lt;=15,"L","A"))),IF(OR(B91="SE",B91="CE"),IF(E91&gt;=4,IF(D91&gt;=6,"H","A"),IF(E91&gt;=2,IF(D91&gt;=20,"H",IF(D91&lt;=5,"L","A")),IF(D91&lt;=19,"L","A"))),IF(OR(B91="ALI",B91="AIE"),IF(E91&gt;=6,IF(D91&gt;=20,"H","A"),IF(E91&gt;=2,IF(D91&gt;=51,"H",IF(D91&lt;=19,"L","A")),IF(D91&lt;=50,"L","A"))),""))))</f>
        <v/>
      </c>
      <c r="J91" s="7">
        <f>CONCATENATE(B91,C91)</f>
        <v/>
      </c>
      <c r="K91" s="9">
        <f>IF(OR(H91="",H91=0),L91,H91)</f>
        <v/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10" t="n"/>
      <c r="N91" s="115" t="n"/>
      <c r="O91" s="6" t="n"/>
    </row>
    <row r="92">
      <c r="A92" s="112" t="n"/>
      <c r="B92" s="4" t="n"/>
      <c r="C92" s="4" t="n"/>
      <c r="D92" s="7" t="n"/>
      <c r="E92" s="7" t="n"/>
      <c r="F92" s="8">
        <f>IF(ISBLANK(B92),"",IF(I92="L","Baixa",IF(I92="A","Média",IF(I92="","","Alta"))))</f>
        <v/>
      </c>
      <c r="G92" s="7">
        <f>CONCATENATE(B92,I92)</f>
        <v/>
      </c>
      <c r="H92" s="5">
        <f>IF(ISBLANK(B92),"",IF(B92="ALI",IF(I92="L",7,IF(I92="A",10,15)),IF(B92="AIE",IF(I92="L",5,IF(I92="A",7,10)),IF(B92="SE",IF(I92="L",4,IF(I92="A",5,7)),IF(OR(B92="EE",B92="CE"),IF(I92="L",3,IF(I92="A",4,6)),0)))))</f>
        <v/>
      </c>
      <c r="I92" s="110">
        <f>IF(OR(ISBLANK(D92),ISBLANK(E92)),IF(OR(B92="ALI",B92="AIE"),"L",IF(OR(B92="EE",B92="SE",B92="CE"),"A","")),IF(B92="EE",IF(E92&gt;=3,IF(D92&gt;=5,"H","A"),IF(E92&gt;=2,IF(D92&gt;=16,"H",IF(D92&lt;=4,"L","A")),IF(D92&lt;=15,"L","A"))),IF(OR(B92="SE",B92="CE"),IF(E92&gt;=4,IF(D92&gt;=6,"H","A"),IF(E92&gt;=2,IF(D92&gt;=20,"H",IF(D92&lt;=5,"L","A")),IF(D92&lt;=19,"L","A"))),IF(OR(B92="ALI",B92="AIE"),IF(E92&gt;=6,IF(D92&gt;=20,"H","A"),IF(E92&gt;=2,IF(D92&gt;=51,"H",IF(D92&lt;=19,"L","A")),IF(D92&lt;=50,"L","A"))),""))))</f>
        <v/>
      </c>
      <c r="J92" s="7">
        <f>CONCATENATE(B92,C92)</f>
        <v/>
      </c>
      <c r="K92" s="9">
        <f>IF(OR(H92="",H92=0),L92,H92)</f>
        <v/>
      </c>
      <c r="L92" s="9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0" t="n"/>
      <c r="N92" s="115" t="n"/>
      <c r="O92" s="6" t="n"/>
    </row>
    <row r="93">
      <c r="A93" s="112" t="n"/>
      <c r="B93" s="4" t="n"/>
      <c r="C93" s="4" t="n"/>
      <c r="D93" s="7" t="n"/>
      <c r="E93" s="7" t="n"/>
      <c r="F93" s="8">
        <f>IF(ISBLANK(B93),"",IF(I93="L","Baixa",IF(I93="A","Média",IF(I93="","","Alta"))))</f>
        <v/>
      </c>
      <c r="G93" s="7">
        <f>CONCATENATE(B93,I93)</f>
        <v/>
      </c>
      <c r="H93" s="5">
        <f>IF(ISBLANK(B93),"",IF(B93="ALI",IF(I93="L",7,IF(I93="A",10,15)),IF(B93="AIE",IF(I93="L",5,IF(I93="A",7,10)),IF(B93="SE",IF(I93="L",4,IF(I93="A",5,7)),IF(OR(B93="EE",B93="CE"),IF(I93="L",3,IF(I93="A",4,6)),0)))))</f>
        <v/>
      </c>
      <c r="I93" s="110">
        <f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/>
      </c>
      <c r="J93" s="7">
        <f>CONCATENATE(B93,C93)</f>
        <v/>
      </c>
      <c r="K93" s="9">
        <f>IF(OR(H93="",H93=0),L93,H93)</f>
        <v/>
      </c>
      <c r="L93" s="9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 t="n"/>
      <c r="N93" s="115" t="n"/>
      <c r="O93" s="6" t="n"/>
    </row>
    <row r="94">
      <c r="A94" s="112" t="n"/>
      <c r="B94" s="4" t="n"/>
      <c r="C94" s="4" t="n"/>
      <c r="D94" s="7" t="n"/>
      <c r="E94" s="7" t="n"/>
      <c r="F94" s="8">
        <f>IF(ISBLANK(B94),"",IF(I94="L","Baixa",IF(I94="A","Média",IF(I94="","","Alta"))))</f>
        <v/>
      </c>
      <c r="G94" s="7">
        <f>CONCATENATE(B94,I94)</f>
        <v/>
      </c>
      <c r="H94" s="5">
        <f>IF(ISBLANK(B94),"",IF(B94="ALI",IF(I94="L",7,IF(I94="A",10,15)),IF(B94="AIE",IF(I94="L",5,IF(I94="A",7,10)),IF(B94="SE",IF(I94="L",4,IF(I94="A",5,7)),IF(OR(B94="EE",B94="CE"),IF(I94="L",3,IF(I94="A",4,6)),0)))))</f>
        <v/>
      </c>
      <c r="I94" s="110">
        <f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/>
      </c>
      <c r="J94" s="7">
        <f>CONCATENATE(B94,C94)</f>
        <v/>
      </c>
      <c r="K94" s="9">
        <f>IF(OR(H94="",H94=0),L94,H94)</f>
        <v/>
      </c>
      <c r="L94" s="9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 t="n"/>
      <c r="N94" s="115" t="n"/>
      <c r="O94" s="6" t="n"/>
    </row>
    <row r="95">
      <c r="A95" s="112" t="n"/>
      <c r="B95" s="4" t="n"/>
      <c r="C95" s="4" t="n"/>
      <c r="D95" s="7" t="n"/>
      <c r="E95" s="7" t="n"/>
      <c r="F95" s="8">
        <f>IF(ISBLANK(B95),"",IF(I95="L","Baixa",IF(I95="A","Média",IF(I95="","","Alta"))))</f>
        <v/>
      </c>
      <c r="G95" s="7">
        <f>CONCATENATE(B95,I95)</f>
        <v/>
      </c>
      <c r="H95" s="5">
        <f>IF(ISBLANK(B95),"",IF(B95="ALI",IF(I95="L",7,IF(I95="A",10,15)),IF(B95="AIE",IF(I95="L",5,IF(I95="A",7,10)),IF(B95="SE",IF(I95="L",4,IF(I95="A",5,7)),IF(OR(B95="EE",B95="CE"),IF(I95="L",3,IF(I95="A",4,6)),0)))))</f>
        <v/>
      </c>
      <c r="I95" s="110">
        <f>IF(OR(ISBLANK(D95),ISBLANK(E95)),IF(OR(B95="ALI",B95="AIE"),"L",IF(OR(B95="EE",B95="SE",B95="CE"),"A","")),IF(B95="EE",IF(E95&gt;=3,IF(D95&gt;=5,"H","A"),IF(E95&gt;=2,IF(D95&gt;=16,"H",IF(D95&lt;=4,"L","A")),IF(D95&lt;=15,"L","A"))),IF(OR(B95="SE",B95="CE"),IF(E95&gt;=4,IF(D95&gt;=6,"H","A"),IF(E95&gt;=2,IF(D95&gt;=20,"H",IF(D95&lt;=5,"L","A")),IF(D95&lt;=19,"L","A"))),IF(OR(B95="ALI",B95="AIE"),IF(E95&gt;=6,IF(D95&gt;=20,"H","A"),IF(E95&gt;=2,IF(D95&gt;=51,"H",IF(D95&lt;=19,"L","A")),IF(D95&lt;=50,"L","A"))),""))))</f>
        <v/>
      </c>
      <c r="J95" s="7">
        <f>CONCATENATE(B95,C95)</f>
        <v/>
      </c>
      <c r="K95" s="9">
        <f>IF(OR(H95="",H95=0),L95,H95)</f>
        <v/>
      </c>
      <c r="L95" s="9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 t="n"/>
      <c r="N95" s="115" t="n"/>
      <c r="O95" s="6" t="n"/>
    </row>
    <row r="96">
      <c r="A96" s="112" t="n"/>
      <c r="B96" s="4" t="n"/>
      <c r="C96" s="4" t="n"/>
      <c r="D96" s="7" t="n"/>
      <c r="E96" s="7" t="n"/>
      <c r="F96" s="8">
        <f>IF(ISBLANK(B96),"",IF(I96="L","Baixa",IF(I96="A","Média",IF(I96="","","Alta"))))</f>
        <v/>
      </c>
      <c r="G96" s="7">
        <f>CONCATENATE(B96,I96)</f>
        <v/>
      </c>
      <c r="H96" s="5">
        <f>IF(ISBLANK(B96),"",IF(B96="ALI",IF(I96="L",7,IF(I96="A",10,15)),IF(B96="AIE",IF(I96="L",5,IF(I96="A",7,10)),IF(B96="SE",IF(I96="L",4,IF(I96="A",5,7)),IF(OR(B96="EE",B96="CE"),IF(I96="L",3,IF(I96="A",4,6)),0)))))</f>
        <v/>
      </c>
      <c r="I96" s="110">
        <f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/>
      </c>
      <c r="J96" s="7">
        <f>CONCATENATE(B96,C96)</f>
        <v/>
      </c>
      <c r="K96" s="9">
        <f>IF(OR(H96="",H96=0),L96,H96)</f>
        <v/>
      </c>
      <c r="L96" s="9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 t="n"/>
      <c r="N96" s="115" t="n"/>
      <c r="O96" s="6" t="n"/>
    </row>
    <row r="97">
      <c r="A97" s="112" t="n"/>
      <c r="B97" s="4" t="n"/>
      <c r="C97" s="4" t="n"/>
      <c r="D97" s="7" t="n"/>
      <c r="E97" s="7" t="n"/>
      <c r="F97" s="8">
        <f>IF(ISBLANK(B97),"",IF(I97="L","Baixa",IF(I97="A","Média",IF(I97="","","Alta"))))</f>
        <v/>
      </c>
      <c r="G97" s="7">
        <f>CONCATENATE(B97,I97)</f>
        <v/>
      </c>
      <c r="H97" s="5">
        <f>IF(ISBLANK(B97),"",IF(B97="ALI",IF(I97="L",7,IF(I97="A",10,15)),IF(B97="AIE",IF(I97="L",5,IF(I97="A",7,10)),IF(B97="SE",IF(I97="L",4,IF(I97="A",5,7)),IF(OR(B97="EE",B97="CE"),IF(I97="L",3,IF(I97="A",4,6)),0)))))</f>
        <v/>
      </c>
      <c r="I97" s="110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>
        <f>CONCATENATE(B97,C97)</f>
        <v/>
      </c>
      <c r="K97" s="9">
        <f>IF(OR(H97="",H97=0),L97,H97)</f>
        <v/>
      </c>
      <c r="L97" s="9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 t="n"/>
      <c r="N97" s="115" t="n"/>
      <c r="O97" s="6" t="n"/>
    </row>
    <row r="98">
      <c r="A98" s="112" t="n"/>
      <c r="B98" s="4" t="n"/>
      <c r="C98" s="4" t="n"/>
      <c r="D98" s="7" t="n"/>
      <c r="E98" s="7" t="n"/>
      <c r="F98" s="8">
        <f>IF(ISBLANK(B98),"",IF(I98="L","Baixa",IF(I98="A","Média",IF(I98="","","Alta"))))</f>
        <v/>
      </c>
      <c r="G98" s="7">
        <f>CONCATENATE(B98,I98)</f>
        <v/>
      </c>
      <c r="H98" s="5">
        <f>IF(ISBLANK(B98),"",IF(B98="ALI",IF(I98="L",7,IF(I98="A",10,15)),IF(B98="AIE",IF(I98="L",5,IF(I98="A",7,10)),IF(B98="SE",IF(I98="L",4,IF(I98="A",5,7)),IF(OR(B98="EE",B98="CE"),IF(I98="L",3,IF(I98="A",4,6)),0)))))</f>
        <v/>
      </c>
      <c r="I98" s="110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>
        <f>CONCATENATE(B98,C98)</f>
        <v/>
      </c>
      <c r="K98" s="9">
        <f>IF(OR(H98="",H98=0),L98,H98)</f>
        <v/>
      </c>
      <c r="L98" s="9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 t="n"/>
      <c r="N98" s="115" t="n"/>
      <c r="O98" s="6" t="n"/>
    </row>
    <row r="99">
      <c r="A99" s="112" t="n"/>
      <c r="B99" s="4" t="n"/>
      <c r="C99" s="4" t="n"/>
      <c r="D99" s="7" t="n"/>
      <c r="E99" s="7" t="n"/>
      <c r="F99" s="8">
        <f>IF(ISBLANK(B99),"",IF(I99="L","Baixa",IF(I99="A","Média",IF(I99="","","Alta"))))</f>
        <v/>
      </c>
      <c r="G99" s="7">
        <f>CONCATENATE(B99,I99)</f>
        <v/>
      </c>
      <c r="H99" s="5">
        <f>IF(ISBLANK(B99),"",IF(B99="ALI",IF(I99="L",7,IF(I99="A",10,15)),IF(B99="AIE",IF(I99="L",5,IF(I99="A",7,10)),IF(B99="SE",IF(I99="L",4,IF(I99="A",5,7)),IF(OR(B99="EE",B99="CE"),IF(I99="L",3,IF(I99="A",4,6)),0)))))</f>
        <v/>
      </c>
      <c r="I99" s="110">
        <f>IF(OR(ISBLANK(D99),ISBLANK(E99)),IF(OR(B99="ALI",B99="AIE"),"L",IF(OR(B99="EE",B99="SE",B99="CE"),"A","")),IF(B99="EE",IF(E99&gt;=3,IF(D99&gt;=5,"H","A"),IF(E99&gt;=2,IF(D99&gt;=16,"H",IF(D99&lt;=4,"L","A")),IF(D99&lt;=15,"L","A"))),IF(OR(B99="SE",B99="CE"),IF(E99&gt;=4,IF(D99&gt;=6,"H","A"),IF(E99&gt;=2,IF(D99&gt;=20,"H",IF(D99&lt;=5,"L","A")),IF(D99&lt;=19,"L","A"))),IF(OR(B99="ALI",B99="AIE"),IF(E99&gt;=6,IF(D99&gt;=20,"H","A"),IF(E99&gt;=2,IF(D99&gt;=51,"H",IF(D99&lt;=19,"L","A")),IF(D99&lt;=50,"L","A"))),""))))</f>
        <v/>
      </c>
      <c r="J99" s="7">
        <f>CONCATENATE(B99,C99)</f>
        <v/>
      </c>
      <c r="K99" s="9">
        <f>IF(OR(H99="",H99=0),L99,H99)</f>
        <v/>
      </c>
      <c r="L99" s="9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 t="n"/>
      <c r="N99" s="115" t="n"/>
      <c r="O99" s="6" t="n"/>
    </row>
    <row r="100">
      <c r="A100" s="112" t="n"/>
      <c r="B100" s="4" t="n"/>
      <c r="C100" s="4" t="n"/>
      <c r="D100" s="7" t="n"/>
      <c r="E100" s="7" t="n"/>
      <c r="F100" s="8">
        <f>IF(ISBLANK(B100),"",IF(I100="L","Baixa",IF(I100="A","Média",IF(I100="","","Alta"))))</f>
        <v/>
      </c>
      <c r="G100" s="7">
        <f>CONCATENATE(B100,I100)</f>
        <v/>
      </c>
      <c r="H100" s="5">
        <f>IF(ISBLANK(B100),"",IF(B100="ALI",IF(I100="L",7,IF(I100="A",10,15)),IF(B100="AIE",IF(I100="L",5,IF(I100="A",7,10)),IF(B100="SE",IF(I100="L",4,IF(I100="A",5,7)),IF(OR(B100="EE",B100="CE"),IF(I100="L",3,IF(I100="A",4,6)),0)))))</f>
        <v/>
      </c>
      <c r="I100" s="110">
        <f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/>
      </c>
      <c r="J100" s="7">
        <f>CONCATENATE(B100,C100)</f>
        <v/>
      </c>
      <c r="K100" s="9">
        <f>IF(OR(H100="",H100=0),L100,H100)</f>
        <v/>
      </c>
      <c r="L100" s="9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0" t="n"/>
      <c r="N100" s="115" t="n"/>
      <c r="O100" s="6" t="n"/>
    </row>
    <row r="101">
      <c r="A101" s="112" t="n"/>
      <c r="B101" s="4" t="n"/>
      <c r="C101" s="4" t="n"/>
      <c r="D101" s="7" t="n"/>
      <c r="E101" s="7" t="n"/>
      <c r="F101" s="8">
        <f>IF(ISBLANK(B101),"",IF(I101="L","Baixa",IF(I101="A","Média",IF(I101="","","Alta"))))</f>
        <v/>
      </c>
      <c r="G101" s="7">
        <f>CONCATENATE(B101,I101)</f>
        <v/>
      </c>
      <c r="H101" s="5">
        <f>IF(ISBLANK(B101),"",IF(B101="ALI",IF(I101="L",7,IF(I101="A",10,15)),IF(B101="AIE",IF(I101="L",5,IF(I101="A",7,10)),IF(B101="SE",IF(I101="L",4,IF(I101="A",5,7)),IF(OR(B101="EE",B101="CE"),IF(I101="L",3,IF(I101="A",4,6)),0)))))</f>
        <v/>
      </c>
      <c r="I101" s="110">
        <f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/>
      </c>
      <c r="J101" s="7">
        <f>CONCATENATE(B101,C101)</f>
        <v/>
      </c>
      <c r="K101" s="9">
        <f>IF(OR(H101="",H101=0),L101,H101)</f>
        <v/>
      </c>
      <c r="L101" s="9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0" t="n"/>
      <c r="N101" s="115" t="n"/>
      <c r="O101" s="6" t="n"/>
    </row>
    <row r="102">
      <c r="A102" s="112" t="n"/>
      <c r="B102" s="4" t="n"/>
      <c r="C102" s="4" t="n"/>
      <c r="D102" s="7" t="n"/>
      <c r="E102" s="7" t="n"/>
      <c r="F102" s="8">
        <f>IF(ISBLANK(B102),"",IF(I102="L","Baixa",IF(I102="A","Média",IF(I102="","","Alta"))))</f>
        <v/>
      </c>
      <c r="G102" s="7">
        <f>CONCATENATE(B102,I102)</f>
        <v/>
      </c>
      <c r="H102" s="5">
        <f>IF(ISBLANK(B102),"",IF(B102="ALI",IF(I102="L",7,IF(I102="A",10,15)),IF(B102="AIE",IF(I102="L",5,IF(I102="A",7,10)),IF(B102="SE",IF(I102="L",4,IF(I102="A",5,7)),IF(OR(B102="EE",B102="CE"),IF(I102="L",3,IF(I102="A",4,6)),0)))))</f>
        <v/>
      </c>
      <c r="I102" s="110">
        <f>IF(OR(ISBLANK(D102),ISBLANK(E102)),IF(OR(B102="ALI",B102="AIE"),"L",IF(OR(B102="EE",B102="SE",B102="CE"),"A","")),IF(B102="EE",IF(E102&gt;=3,IF(D102&gt;=5,"H","A"),IF(E102&gt;=2,IF(D102&gt;=16,"H",IF(D102&lt;=4,"L","A")),IF(D102&lt;=15,"L","A"))),IF(OR(B102="SE",B102="CE"),IF(E102&gt;=4,IF(D102&gt;=6,"H","A"),IF(E102&gt;=2,IF(D102&gt;=20,"H",IF(D102&lt;=5,"L","A")),IF(D102&lt;=19,"L","A"))),IF(OR(B102="ALI",B102="AIE"),IF(E102&gt;=6,IF(D102&gt;=20,"H","A"),IF(E102&gt;=2,IF(D102&gt;=51,"H",IF(D102&lt;=19,"L","A")),IF(D102&lt;=50,"L","A"))),""))))</f>
        <v/>
      </c>
      <c r="J102" s="7">
        <f>CONCATENATE(B102,C102)</f>
        <v/>
      </c>
      <c r="K102" s="9">
        <f>IF(OR(H102="",H102=0),L102,H102)</f>
        <v/>
      </c>
      <c r="L102" s="9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" t="n"/>
      <c r="N102" s="115" t="n"/>
      <c r="O102" s="6" t="n"/>
    </row>
    <row r="103">
      <c r="A103" s="112" t="n"/>
      <c r="B103" s="4" t="n"/>
      <c r="C103" s="4" t="n"/>
      <c r="D103" s="7" t="n"/>
      <c r="E103" s="7" t="n"/>
      <c r="F103" s="8">
        <f>IF(ISBLANK(B103),"",IF(I103="L","Baixa",IF(I103="A","Média",IF(I103="","","Alta"))))</f>
        <v/>
      </c>
      <c r="G103" s="7">
        <f>CONCATENATE(B103,I103)</f>
        <v/>
      </c>
      <c r="H103" s="5">
        <f>IF(ISBLANK(B103),"",IF(B103="ALI",IF(I103="L",7,IF(I103="A",10,15)),IF(B103="AIE",IF(I103="L",5,IF(I103="A",7,10)),IF(B103="SE",IF(I103="L",4,IF(I103="A",5,7)),IF(OR(B103="EE",B103="CE"),IF(I103="L",3,IF(I103="A",4,6)),0)))))</f>
        <v/>
      </c>
      <c r="I103" s="110">
        <f>IF(OR(ISBLANK(D103),ISBLANK(E103)),IF(OR(B103="ALI",B103="AIE"),"L",IF(OR(B103="EE",B103="SE",B103="CE"),"A","")),IF(B103="EE",IF(E103&gt;=3,IF(D103&gt;=5,"H","A"),IF(E103&gt;=2,IF(D103&gt;=16,"H",IF(D103&lt;=4,"L","A")),IF(D103&lt;=15,"L","A"))),IF(OR(B103="SE",B103="CE"),IF(E103&gt;=4,IF(D103&gt;=6,"H","A"),IF(E103&gt;=2,IF(D103&gt;=20,"H",IF(D103&lt;=5,"L","A")),IF(D103&lt;=19,"L","A"))),IF(OR(B103="ALI",B103="AIE"),IF(E103&gt;=6,IF(D103&gt;=20,"H","A"),IF(E103&gt;=2,IF(D103&gt;=51,"H",IF(D103&lt;=19,"L","A")),IF(D103&lt;=50,"L","A"))),""))))</f>
        <v/>
      </c>
      <c r="J103" s="7">
        <f>CONCATENATE(B103,C103)</f>
        <v/>
      </c>
      <c r="K103" s="9">
        <f>IF(OR(H103="",H103=0),L103,H103)</f>
        <v/>
      </c>
      <c r="L103" s="9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" t="n"/>
      <c r="N103" s="115" t="n"/>
      <c r="O103" s="6" t="n"/>
    </row>
    <row r="104">
      <c r="A104" s="112" t="n"/>
      <c r="B104" s="4" t="n"/>
      <c r="C104" s="4" t="n"/>
      <c r="D104" s="7" t="n"/>
      <c r="E104" s="7" t="n"/>
      <c r="F104" s="8">
        <f>IF(ISBLANK(B104),"",IF(I104="L","Baixa",IF(I104="A","Média",IF(I104="","","Alta"))))</f>
        <v/>
      </c>
      <c r="G104" s="7">
        <f>CONCATENATE(B104,I104)</f>
        <v/>
      </c>
      <c r="H104" s="5">
        <f>IF(ISBLANK(B104),"",IF(B104="ALI",IF(I104="L",7,IF(I104="A",10,15)),IF(B104="AIE",IF(I104="L",5,IF(I104="A",7,10)),IF(B104="SE",IF(I104="L",4,IF(I104="A",5,7)),IF(OR(B104="EE",B104="CE"),IF(I104="L",3,IF(I104="A",4,6)),0)))))</f>
        <v/>
      </c>
      <c r="I104" s="110">
        <f>IF(OR(ISBLANK(D104),ISBLANK(E104)),IF(OR(B104="ALI",B104="AIE"),"L",IF(OR(B104="EE",B104="SE",B104="CE"),"A","")),IF(B104="EE",IF(E104&gt;=3,IF(D104&gt;=5,"H","A"),IF(E104&gt;=2,IF(D104&gt;=16,"H",IF(D104&lt;=4,"L","A")),IF(D104&lt;=15,"L","A"))),IF(OR(B104="SE",B104="CE"),IF(E104&gt;=4,IF(D104&gt;=6,"H","A"),IF(E104&gt;=2,IF(D104&gt;=20,"H",IF(D104&lt;=5,"L","A")),IF(D104&lt;=19,"L","A"))),IF(OR(B104="ALI",B104="AIE"),IF(E104&gt;=6,IF(D104&gt;=20,"H","A"),IF(E104&gt;=2,IF(D104&gt;=51,"H",IF(D104&lt;=19,"L","A")),IF(D104&lt;=50,"L","A"))),""))))</f>
        <v/>
      </c>
      <c r="J104" s="7">
        <f>CONCATENATE(B104,C104)</f>
        <v/>
      </c>
      <c r="K104" s="9">
        <f>IF(OR(H104="",H104=0),L104,H104)</f>
        <v/>
      </c>
      <c r="L104" s="9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 t="n"/>
      <c r="N104" s="115" t="n"/>
      <c r="O104" s="6" t="n"/>
    </row>
    <row r="105">
      <c r="A105" s="112" t="n"/>
      <c r="B105" s="4" t="n"/>
      <c r="C105" s="4" t="n"/>
      <c r="D105" s="7" t="n"/>
      <c r="E105" s="7" t="n"/>
      <c r="F105" s="8">
        <f>IF(ISBLANK(B105),"",IF(I105="L","Baixa",IF(I105="A","Média",IF(I105="","","Alta"))))</f>
        <v/>
      </c>
      <c r="G105" s="7">
        <f>CONCATENATE(B105,I105)</f>
        <v/>
      </c>
      <c r="H105" s="5">
        <f>IF(ISBLANK(B105),"",IF(B105="ALI",IF(I105="L",7,IF(I105="A",10,15)),IF(B105="AIE",IF(I105="L",5,IF(I105="A",7,10)),IF(B105="SE",IF(I105="L",4,IF(I105="A",5,7)),IF(OR(B105="EE",B105="CE"),IF(I105="L",3,IF(I105="A",4,6)),0)))))</f>
        <v/>
      </c>
      <c r="I105" s="110">
        <f>IF(OR(ISBLANK(D105),ISBLANK(E105)),IF(OR(B105="ALI",B105="AIE"),"L",IF(OR(B105="EE",B105="SE",B105="CE"),"A","")),IF(B105="EE",IF(E105&gt;=3,IF(D105&gt;=5,"H","A"),IF(E105&gt;=2,IF(D105&gt;=16,"H",IF(D105&lt;=4,"L","A")),IF(D105&lt;=15,"L","A"))),IF(OR(B105="SE",B105="CE"),IF(E105&gt;=4,IF(D105&gt;=6,"H","A"),IF(E105&gt;=2,IF(D105&gt;=20,"H",IF(D105&lt;=5,"L","A")),IF(D105&lt;=19,"L","A"))),IF(OR(B105="ALI",B105="AIE"),IF(E105&gt;=6,IF(D105&gt;=20,"H","A"),IF(E105&gt;=2,IF(D105&gt;=51,"H",IF(D105&lt;=19,"L","A")),IF(D105&lt;=50,"L","A"))),""))))</f>
        <v/>
      </c>
      <c r="J105" s="7">
        <f>CONCATENATE(B105,C105)</f>
        <v/>
      </c>
      <c r="K105" s="9">
        <f>IF(OR(H105="",H105=0),L105,H105)</f>
        <v/>
      </c>
      <c r="L105" s="9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 t="n"/>
      <c r="N105" s="115" t="n"/>
      <c r="O105" s="6" t="n"/>
    </row>
    <row r="106">
      <c r="A106" s="112" t="n"/>
      <c r="B106" s="4" t="n"/>
      <c r="C106" s="4" t="n"/>
      <c r="D106" s="7" t="n"/>
      <c r="E106" s="7" t="n"/>
      <c r="F106" s="8">
        <f>IF(ISBLANK(B106),"",IF(I106="L","Baixa",IF(I106="A","Média",IF(I106="","","Alta"))))</f>
        <v/>
      </c>
      <c r="G106" s="7">
        <f>CONCATENATE(B106,I106)</f>
        <v/>
      </c>
      <c r="H106" s="5">
        <f>IF(ISBLANK(B106),"",IF(B106="ALI",IF(I106="L",7,IF(I106="A",10,15)),IF(B106="AIE",IF(I106="L",5,IF(I106="A",7,10)),IF(B106="SE",IF(I106="L",4,IF(I106="A",5,7)),IF(OR(B106="EE",B106="CE"),IF(I106="L",3,IF(I106="A",4,6)),0)))))</f>
        <v/>
      </c>
      <c r="I106" s="110">
        <f>IF(OR(ISBLANK(D106),ISBLANK(E106)),IF(OR(B106="ALI",B106="AIE"),"L",IF(OR(B106="EE",B106="SE",B106="CE"),"A","")),IF(B106="EE",IF(E106&gt;=3,IF(D106&gt;=5,"H","A"),IF(E106&gt;=2,IF(D106&gt;=16,"H",IF(D106&lt;=4,"L","A")),IF(D106&lt;=15,"L","A"))),IF(OR(B106="SE",B106="CE"),IF(E106&gt;=4,IF(D106&gt;=6,"H","A"),IF(E106&gt;=2,IF(D106&gt;=20,"H",IF(D106&lt;=5,"L","A")),IF(D106&lt;=19,"L","A"))),IF(OR(B106="ALI",B106="AIE"),IF(E106&gt;=6,IF(D106&gt;=20,"H","A"),IF(E106&gt;=2,IF(D106&gt;=51,"H",IF(D106&lt;=19,"L","A")),IF(D106&lt;=50,"L","A"))),""))))</f>
        <v/>
      </c>
      <c r="J106" s="7">
        <f>CONCATENATE(B106,C106)</f>
        <v/>
      </c>
      <c r="K106" s="9">
        <f>IF(OR(H106="",H106=0),L106,H106)</f>
        <v/>
      </c>
      <c r="L106" s="9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 t="n"/>
      <c r="N106" s="115" t="n"/>
      <c r="O106" s="6" t="n"/>
    </row>
    <row r="107">
      <c r="A107" s="112" t="n"/>
      <c r="B107" s="4" t="n"/>
      <c r="C107" s="4" t="n"/>
      <c r="D107" s="7" t="n"/>
      <c r="E107" s="7" t="n"/>
      <c r="F107" s="8">
        <f>IF(ISBLANK(B107),"",IF(I107="L","Baixa",IF(I107="A","Média",IF(I107="","","Alta"))))</f>
        <v/>
      </c>
      <c r="G107" s="7">
        <f>CONCATENATE(B107,I107)</f>
        <v/>
      </c>
      <c r="H107" s="5">
        <f>IF(ISBLANK(B107),"",IF(B107="ALI",IF(I107="L",7,IF(I107="A",10,15)),IF(B107="AIE",IF(I107="L",5,IF(I107="A",7,10)),IF(B107="SE",IF(I107="L",4,IF(I107="A",5,7)),IF(OR(B107="EE",B107="CE"),IF(I107="L",3,IF(I107="A",4,6)),0)))))</f>
        <v/>
      </c>
      <c r="I107" s="110">
        <f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/>
      </c>
      <c r="J107" s="7">
        <f>CONCATENATE(B107,C107)</f>
        <v/>
      </c>
      <c r="K107" s="9">
        <f>IF(OR(H107="",H107=0),L107,H107)</f>
        <v/>
      </c>
      <c r="L107" s="9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 t="n"/>
      <c r="N107" s="115" t="n"/>
      <c r="O107" s="6" t="n"/>
    </row>
    <row r="108">
      <c r="A108" s="112" t="n"/>
      <c r="B108" s="4" t="n"/>
      <c r="C108" s="4" t="n"/>
      <c r="D108" s="7" t="n"/>
      <c r="E108" s="7" t="n"/>
      <c r="F108" s="8">
        <f>IF(ISBLANK(B108),"",IF(I108="L","Baixa",IF(I108="A","Média",IF(I108="","","Alta"))))</f>
        <v/>
      </c>
      <c r="G108" s="7">
        <f>CONCATENATE(B108,I108)</f>
        <v/>
      </c>
      <c r="H108" s="5">
        <f>IF(ISBLANK(B108),"",IF(B108="ALI",IF(I108="L",7,IF(I108="A",10,15)),IF(B108="AIE",IF(I108="L",5,IF(I108="A",7,10)),IF(B108="SE",IF(I108="L",4,IF(I108="A",5,7)),IF(OR(B108="EE",B108="CE"),IF(I108="L",3,IF(I108="A",4,6)),0)))))</f>
        <v/>
      </c>
      <c r="I108" s="110">
        <f>IF(OR(ISBLANK(D108),ISBLANK(E108)),IF(OR(B108="ALI",B108="AIE"),"L",IF(OR(B108="EE",B108="SE",B108="CE"),"A","")),IF(B108="EE",IF(E108&gt;=3,IF(D108&gt;=5,"H","A"),IF(E108&gt;=2,IF(D108&gt;=16,"H",IF(D108&lt;=4,"L","A")),IF(D108&lt;=15,"L","A"))),IF(OR(B108="SE",B108="CE"),IF(E108&gt;=4,IF(D108&gt;=6,"H","A"),IF(E108&gt;=2,IF(D108&gt;=20,"H",IF(D108&lt;=5,"L","A")),IF(D108&lt;=19,"L","A"))),IF(OR(B108="ALI",B108="AIE"),IF(E108&gt;=6,IF(D108&gt;=20,"H","A"),IF(E108&gt;=2,IF(D108&gt;=51,"H",IF(D108&lt;=19,"L","A")),IF(D108&lt;=50,"L","A"))),""))))</f>
        <v/>
      </c>
      <c r="J108" s="7">
        <f>CONCATENATE(B108,C108)</f>
        <v/>
      </c>
      <c r="K108" s="9">
        <f>IF(OR(H108="",H108=0),L108,H108)</f>
        <v/>
      </c>
      <c r="L108" s="9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 t="n"/>
      <c r="N108" s="115" t="n"/>
      <c r="O108" s="6" t="n"/>
    </row>
    <row r="109">
      <c r="A109" s="112" t="n"/>
      <c r="B109" s="4" t="n"/>
      <c r="C109" s="4" t="n"/>
      <c r="D109" s="7" t="n"/>
      <c r="E109" s="7" t="n"/>
      <c r="F109" s="8">
        <f>IF(ISBLANK(B109),"",IF(I109="L","Baixa",IF(I109="A","Média",IF(I109="","","Alta"))))</f>
        <v/>
      </c>
      <c r="G109" s="7">
        <f>CONCATENATE(B109,I109)</f>
        <v/>
      </c>
      <c r="H109" s="5">
        <f>IF(ISBLANK(B109),"",IF(B109="ALI",IF(I109="L",7,IF(I109="A",10,15)),IF(B109="AIE",IF(I109="L",5,IF(I109="A",7,10)),IF(B109="SE",IF(I109="L",4,IF(I109="A",5,7)),IF(OR(B109="EE",B109="CE"),IF(I109="L",3,IF(I109="A",4,6)),0)))))</f>
        <v/>
      </c>
      <c r="I109" s="110">
        <f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/>
      </c>
      <c r="J109" s="7">
        <f>CONCATENATE(B109,C109)</f>
        <v/>
      </c>
      <c r="K109" s="9">
        <f>IF(OR(H109="",H109=0),L109,H109)</f>
        <v/>
      </c>
      <c r="L109" s="9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 t="n"/>
      <c r="N109" s="115" t="n"/>
      <c r="O109" s="6" t="n"/>
    </row>
    <row r="110">
      <c r="A110" s="112" t="n"/>
      <c r="B110" s="4" t="n"/>
      <c r="C110" s="4" t="n"/>
      <c r="D110" s="7" t="n"/>
      <c r="E110" s="7" t="n"/>
      <c r="F110" s="8">
        <f>IF(ISBLANK(B110),"",IF(I110="L","Baixa",IF(I110="A","Média",IF(I110="","","Alta"))))</f>
        <v/>
      </c>
      <c r="G110" s="7">
        <f>CONCATENATE(B110,I110)</f>
        <v/>
      </c>
      <c r="H110" s="5">
        <f>IF(ISBLANK(B110),"",IF(B110="ALI",IF(I110="L",7,IF(I110="A",10,15)),IF(B110="AIE",IF(I110="L",5,IF(I110="A",7,10)),IF(B110="SE",IF(I110="L",4,IF(I110="A",5,7)),IF(OR(B110="EE",B110="CE"),IF(I110="L",3,IF(I110="A",4,6)),0)))))</f>
        <v/>
      </c>
      <c r="I110" s="110">
        <f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7">
        <f>CONCATENATE(B110,C110)</f>
        <v/>
      </c>
      <c r="K110" s="9">
        <f>IF(OR(H110="",H110=0),L110,H110)</f>
        <v/>
      </c>
      <c r="L110" s="9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 t="n"/>
      <c r="N110" s="115" t="n"/>
      <c r="O110" s="6" t="n"/>
    </row>
    <row r="111">
      <c r="A111" s="112" t="n"/>
      <c r="B111" s="4" t="n"/>
      <c r="C111" s="4" t="n"/>
      <c r="D111" s="7" t="n"/>
      <c r="E111" s="7" t="n"/>
      <c r="F111" s="8">
        <f>IF(ISBLANK(B111),"",IF(I111="L","Baixa",IF(I111="A","Média",IF(I111="","","Alta"))))</f>
        <v/>
      </c>
      <c r="G111" s="7">
        <f>CONCATENATE(B111,I111)</f>
        <v/>
      </c>
      <c r="H111" s="5">
        <f>IF(ISBLANK(B111),"",IF(B111="ALI",IF(I111="L",7,IF(I111="A",10,15)),IF(B111="AIE",IF(I111="L",5,IF(I111="A",7,10)),IF(B111="SE",IF(I111="L",4,IF(I111="A",5,7)),IF(OR(B111="EE",B111="CE"),IF(I111="L",3,IF(I111="A",4,6)),0)))))</f>
        <v/>
      </c>
      <c r="I111" s="110">
        <f>IF(OR(ISBLANK(D111),ISBLANK(E111)),IF(OR(B111="ALI",B111="AIE"),"L",IF(OR(B111="EE",B111="SE",B111="CE"),"A","")),IF(B111="EE",IF(E111&gt;=3,IF(D111&gt;=5,"H","A"),IF(E111&gt;=2,IF(D111&gt;=16,"H",IF(D111&lt;=4,"L","A")),IF(D111&lt;=15,"L","A"))),IF(OR(B111="SE",B111="CE"),IF(E111&gt;=4,IF(D111&gt;=6,"H","A"),IF(E111&gt;=2,IF(D111&gt;=20,"H",IF(D111&lt;=5,"L","A")),IF(D111&lt;=19,"L","A"))),IF(OR(B111="ALI",B111="AIE"),IF(E111&gt;=6,IF(D111&gt;=20,"H","A"),IF(E111&gt;=2,IF(D111&gt;=51,"H",IF(D111&lt;=19,"L","A")),IF(D111&lt;=50,"L","A"))),""))))</f>
        <v/>
      </c>
      <c r="J111" s="7">
        <f>CONCATENATE(B111,C111)</f>
        <v/>
      </c>
      <c r="K111" s="9">
        <f>IF(OR(H111="",H111=0),L111,H111)</f>
        <v/>
      </c>
      <c r="L111" s="9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 t="n"/>
      <c r="N111" s="115" t="n"/>
      <c r="O111" s="6" t="n"/>
    </row>
    <row r="112">
      <c r="A112" s="112" t="n"/>
      <c r="B112" s="4" t="n"/>
      <c r="C112" s="4" t="n"/>
      <c r="D112" s="7" t="n"/>
      <c r="E112" s="7" t="n"/>
      <c r="F112" s="8">
        <f>IF(ISBLANK(B112),"",IF(I112="L","Baixa",IF(I112="A","Média",IF(I112="","","Alta"))))</f>
        <v/>
      </c>
      <c r="G112" s="7">
        <f>CONCATENATE(B112,I112)</f>
        <v/>
      </c>
      <c r="H112" s="5">
        <f>IF(ISBLANK(B112),"",IF(B112="ALI",IF(I112="L",7,IF(I112="A",10,15)),IF(B112="AIE",IF(I112="L",5,IF(I112="A",7,10)),IF(B112="SE",IF(I112="L",4,IF(I112="A",5,7)),IF(OR(B112="EE",B112="CE"),IF(I112="L",3,IF(I112="A",4,6)),0)))))</f>
        <v/>
      </c>
      <c r="I112" s="110">
        <f>IF(OR(ISBLANK(D112),ISBLANK(E112)),IF(OR(B112="ALI",B112="AIE"),"L",IF(OR(B112="EE",B112="SE",B112="CE"),"A","")),IF(B112="EE",IF(E112&gt;=3,IF(D112&gt;=5,"H","A"),IF(E112&gt;=2,IF(D112&gt;=16,"H",IF(D112&lt;=4,"L","A")),IF(D112&lt;=15,"L","A"))),IF(OR(B112="SE",B112="CE"),IF(E112&gt;=4,IF(D112&gt;=6,"H","A"),IF(E112&gt;=2,IF(D112&gt;=20,"H",IF(D112&lt;=5,"L","A")),IF(D112&lt;=19,"L","A"))),IF(OR(B112="ALI",B112="AIE"),IF(E112&gt;=6,IF(D112&gt;=20,"H","A"),IF(E112&gt;=2,IF(D112&gt;=51,"H",IF(D112&lt;=19,"L","A")),IF(D112&lt;=50,"L","A"))),""))))</f>
        <v/>
      </c>
      <c r="J112" s="7">
        <f>CONCATENATE(B112,C112)</f>
        <v/>
      </c>
      <c r="K112" s="9">
        <f>IF(OR(H112="",H112=0),L112,H112)</f>
        <v/>
      </c>
      <c r="L112" s="9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 t="n"/>
      <c r="N112" s="115" t="n"/>
      <c r="O112" s="6" t="n"/>
    </row>
    <row r="113">
      <c r="A113" s="112" t="n"/>
      <c r="B113" s="4" t="n"/>
      <c r="C113" s="4" t="n"/>
      <c r="D113" s="7" t="n"/>
      <c r="E113" s="7" t="n"/>
      <c r="F113" s="8">
        <f>IF(ISBLANK(B113),"",IF(I113="L","Baixa",IF(I113="A","Média",IF(I113="","","Alta"))))</f>
        <v/>
      </c>
      <c r="G113" s="7">
        <f>CONCATENATE(B113,I113)</f>
        <v/>
      </c>
      <c r="H113" s="5">
        <f>IF(ISBLANK(B113),"",IF(B113="ALI",IF(I113="L",7,IF(I113="A",10,15)),IF(B113="AIE",IF(I113="L",5,IF(I113="A",7,10)),IF(B113="SE",IF(I113="L",4,IF(I113="A",5,7)),IF(OR(B113="EE",B113="CE"),IF(I113="L",3,IF(I113="A",4,6)),0)))))</f>
        <v/>
      </c>
      <c r="I113" s="110">
        <f>IF(OR(ISBLANK(D113),ISBLANK(E113)),IF(OR(B113="ALI",B113="AIE"),"L",IF(OR(B113="EE",B113="SE",B113="CE"),"A","")),IF(B113="EE",IF(E113&gt;=3,IF(D113&gt;=5,"H","A"),IF(E113&gt;=2,IF(D113&gt;=16,"H",IF(D113&lt;=4,"L","A")),IF(D113&lt;=15,"L","A"))),IF(OR(B113="SE",B113="CE"),IF(E113&gt;=4,IF(D113&gt;=6,"H","A"),IF(E113&gt;=2,IF(D113&gt;=20,"H",IF(D113&lt;=5,"L","A")),IF(D113&lt;=19,"L","A"))),IF(OR(B113="ALI",B113="AIE"),IF(E113&gt;=6,IF(D113&gt;=20,"H","A"),IF(E113&gt;=2,IF(D113&gt;=51,"H",IF(D113&lt;=19,"L","A")),IF(D113&lt;=50,"L","A"))),""))))</f>
        <v/>
      </c>
      <c r="J113" s="7">
        <f>CONCATENATE(B113,C113)</f>
        <v/>
      </c>
      <c r="K113" s="9">
        <f>IF(OR(H113="",H113=0),L113,H113)</f>
        <v/>
      </c>
      <c r="L113" s="9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 t="n"/>
      <c r="N113" s="115" t="n"/>
      <c r="O113" s="6" t="n"/>
    </row>
    <row r="114">
      <c r="A114" s="112" t="n"/>
      <c r="B114" s="4" t="n"/>
      <c r="C114" s="4" t="n"/>
      <c r="D114" s="7" t="n"/>
      <c r="E114" s="7" t="n"/>
      <c r="F114" s="8">
        <f>IF(ISBLANK(B114),"",IF(I114="L","Baixa",IF(I114="A","Média",IF(I114="","","Alta"))))</f>
        <v/>
      </c>
      <c r="G114" s="7">
        <f>CONCATENATE(B114,I114)</f>
        <v/>
      </c>
      <c r="H114" s="5">
        <f>IF(ISBLANK(B114),"",IF(B114="ALI",IF(I114="L",7,IF(I114="A",10,15)),IF(B114="AIE",IF(I114="L",5,IF(I114="A",7,10)),IF(B114="SE",IF(I114="L",4,IF(I114="A",5,7)),IF(OR(B114="EE",B114="CE"),IF(I114="L",3,IF(I114="A",4,6)),0)))))</f>
        <v/>
      </c>
      <c r="I114" s="110">
        <f>IF(OR(ISBLANK(D114),ISBLANK(E114)),IF(OR(B114="ALI",B114="AIE"),"L",IF(OR(B114="EE",B114="SE",B114="CE"),"A","")),IF(B114="EE",IF(E114&gt;=3,IF(D114&gt;=5,"H","A"),IF(E114&gt;=2,IF(D114&gt;=16,"H",IF(D114&lt;=4,"L","A")),IF(D114&lt;=15,"L","A"))),IF(OR(B114="SE",B114="CE"),IF(E114&gt;=4,IF(D114&gt;=6,"H","A"),IF(E114&gt;=2,IF(D114&gt;=20,"H",IF(D114&lt;=5,"L","A")),IF(D114&lt;=19,"L","A"))),IF(OR(B114="ALI",B114="AIE"),IF(E114&gt;=6,IF(D114&gt;=20,"H","A"),IF(E114&gt;=2,IF(D114&gt;=51,"H",IF(D114&lt;=19,"L","A")),IF(D114&lt;=50,"L","A"))),""))))</f>
        <v/>
      </c>
      <c r="J114" s="7">
        <f>CONCATENATE(B114,C114)</f>
        <v/>
      </c>
      <c r="K114" s="9">
        <f>IF(OR(H114="",H114=0),L114,H114)</f>
        <v/>
      </c>
      <c r="L114" s="9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 t="n"/>
      <c r="N114" s="115" t="n"/>
      <c r="O114" s="6" t="n"/>
    </row>
    <row r="115">
      <c r="A115" s="112" t="n"/>
      <c r="B115" s="4" t="n"/>
      <c r="C115" s="4" t="n"/>
      <c r="D115" s="7" t="n"/>
      <c r="E115" s="7" t="n"/>
      <c r="F115" s="8">
        <f>IF(ISBLANK(B115),"",IF(I115="L","Baixa",IF(I115="A","Média",IF(I115="","","Alta"))))</f>
        <v/>
      </c>
      <c r="G115" s="7">
        <f>CONCATENATE(B115,I115)</f>
        <v/>
      </c>
      <c r="H115" s="5">
        <f>IF(ISBLANK(B115),"",IF(B115="ALI",IF(I115="L",7,IF(I115="A",10,15)),IF(B115="AIE",IF(I115="L",5,IF(I115="A",7,10)),IF(B115="SE",IF(I115="L",4,IF(I115="A",5,7)),IF(OR(B115="EE",B115="CE"),IF(I115="L",3,IF(I115="A",4,6)),0)))))</f>
        <v/>
      </c>
      <c r="I115" s="110">
        <f>IF(OR(ISBLANK(D115),ISBLANK(E115)),IF(OR(B115="ALI",B115="AIE"),"L",IF(OR(B115="EE",B115="SE",B115="CE"),"A","")),IF(B115="EE",IF(E115&gt;=3,IF(D115&gt;=5,"H","A"),IF(E115&gt;=2,IF(D115&gt;=16,"H",IF(D115&lt;=4,"L","A")),IF(D115&lt;=15,"L","A"))),IF(OR(B115="SE",B115="CE"),IF(E115&gt;=4,IF(D115&gt;=6,"H","A"),IF(E115&gt;=2,IF(D115&gt;=20,"H",IF(D115&lt;=5,"L","A")),IF(D115&lt;=19,"L","A"))),IF(OR(B115="ALI",B115="AIE"),IF(E115&gt;=6,IF(D115&gt;=20,"H","A"),IF(E115&gt;=2,IF(D115&gt;=51,"H",IF(D115&lt;=19,"L","A")),IF(D115&lt;=50,"L","A"))),""))))</f>
        <v/>
      </c>
      <c r="J115" s="7">
        <f>CONCATENATE(B115,C115)</f>
        <v/>
      </c>
      <c r="K115" s="9">
        <f>IF(OR(H115="",H115=0),L115,H115)</f>
        <v/>
      </c>
      <c r="L115" s="9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 t="n"/>
      <c r="N115" s="115" t="n"/>
      <c r="O115" s="6" t="n"/>
    </row>
    <row r="116">
      <c r="A116" s="112" t="n"/>
      <c r="B116" s="4" t="n"/>
      <c r="C116" s="4" t="n"/>
      <c r="D116" s="7" t="n"/>
      <c r="E116" s="7" t="n"/>
      <c r="F116" s="8">
        <f>IF(ISBLANK(B116),"",IF(I116="L","Baixa",IF(I116="A","Média",IF(I116="","","Alta"))))</f>
        <v/>
      </c>
      <c r="G116" s="7">
        <f>CONCATENATE(B116,I116)</f>
        <v/>
      </c>
      <c r="H116" s="5">
        <f>IF(ISBLANK(B116),"",IF(B116="ALI",IF(I116="L",7,IF(I116="A",10,15)),IF(B116="AIE",IF(I116="L",5,IF(I116="A",7,10)),IF(B116="SE",IF(I116="L",4,IF(I116="A",5,7)),IF(OR(B116="EE",B116="CE"),IF(I116="L",3,IF(I116="A",4,6)),0)))))</f>
        <v/>
      </c>
      <c r="I116" s="110">
        <f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/>
      </c>
      <c r="J116" s="7">
        <f>CONCATENATE(B116,C116)</f>
        <v/>
      </c>
      <c r="K116" s="9">
        <f>IF(OR(H116="",H116=0),L116,H116)</f>
        <v/>
      </c>
      <c r="L116" s="9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 t="n"/>
      <c r="N116" s="115" t="n"/>
      <c r="O116" s="6" t="n"/>
    </row>
    <row r="117">
      <c r="A117" s="112" t="n"/>
      <c r="B117" s="4" t="n"/>
      <c r="C117" s="4" t="n"/>
      <c r="D117" s="7" t="n"/>
      <c r="E117" s="7" t="n"/>
      <c r="F117" s="8">
        <f>IF(ISBLANK(B117),"",IF(I117="L","Baixa",IF(I117="A","Média",IF(I117="","","Alta"))))</f>
        <v/>
      </c>
      <c r="G117" s="7">
        <f>CONCATENATE(B117,I117)</f>
        <v/>
      </c>
      <c r="H117" s="5">
        <f>IF(ISBLANK(B117),"",IF(B117="ALI",IF(I117="L",7,IF(I117="A",10,15)),IF(B117="AIE",IF(I117="L",5,IF(I117="A",7,10)),IF(B117="SE",IF(I117="L",4,IF(I117="A",5,7)),IF(OR(B117="EE",B117="CE"),IF(I117="L",3,IF(I117="A",4,6)),0)))))</f>
        <v/>
      </c>
      <c r="I117" s="110">
        <f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/>
      </c>
      <c r="J117" s="7">
        <f>CONCATENATE(B117,C117)</f>
        <v/>
      </c>
      <c r="K117" s="9">
        <f>IF(OR(H117="",H117=0),L117,H117)</f>
        <v/>
      </c>
      <c r="L117" s="9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 t="n"/>
      <c r="N117" s="115" t="n"/>
      <c r="O117" s="6" t="n"/>
    </row>
    <row r="118">
      <c r="A118" s="112" t="n"/>
      <c r="B118" s="4" t="n"/>
      <c r="C118" s="4" t="n"/>
      <c r="D118" s="7" t="n"/>
      <c r="E118" s="7" t="n"/>
      <c r="F118" s="8">
        <f>IF(ISBLANK(B118),"",IF(I118="L","Baixa",IF(I118="A","Média",IF(I118="","","Alta"))))</f>
        <v/>
      </c>
      <c r="G118" s="7">
        <f>CONCATENATE(B118,I118)</f>
        <v/>
      </c>
      <c r="H118" s="5">
        <f>IF(ISBLANK(B118),"",IF(B118="ALI",IF(I118="L",7,IF(I118="A",10,15)),IF(B118="AIE",IF(I118="L",5,IF(I118="A",7,10)),IF(B118="SE",IF(I118="L",4,IF(I118="A",5,7)),IF(OR(B118="EE",B118="CE"),IF(I118="L",3,IF(I118="A",4,6)),0)))))</f>
        <v/>
      </c>
      <c r="I118" s="110">
        <f>IF(OR(ISBLANK(D118),ISBLANK(E118)),IF(OR(B118="ALI",B118="AIE"),"L",IF(OR(B118="EE",B118="SE",B118="CE"),"A","")),IF(B118="EE",IF(E118&gt;=3,IF(D118&gt;=5,"H","A"),IF(E118&gt;=2,IF(D118&gt;=16,"H",IF(D118&lt;=4,"L","A")),IF(D118&lt;=15,"L","A"))),IF(OR(B118="SE",B118="CE"),IF(E118&gt;=4,IF(D118&gt;=6,"H","A"),IF(E118&gt;=2,IF(D118&gt;=20,"H",IF(D118&lt;=5,"L","A")),IF(D118&lt;=19,"L","A"))),IF(OR(B118="ALI",B118="AIE"),IF(E118&gt;=6,IF(D118&gt;=20,"H","A"),IF(E118&gt;=2,IF(D118&gt;=51,"H",IF(D118&lt;=19,"L","A")),IF(D118&lt;=50,"L","A"))),""))))</f>
        <v/>
      </c>
      <c r="J118" s="7">
        <f>CONCATENATE(B118,C118)</f>
        <v/>
      </c>
      <c r="K118" s="9">
        <f>IF(OR(H118="",H118=0),L118,H118)</f>
        <v/>
      </c>
      <c r="L118" s="9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 t="n"/>
      <c r="N118" s="115" t="n"/>
      <c r="O118" s="6" t="n"/>
    </row>
    <row r="119">
      <c r="A119" s="112" t="n"/>
      <c r="B119" s="4" t="n"/>
      <c r="C119" s="4" t="n"/>
      <c r="D119" s="7" t="n"/>
      <c r="E119" s="7" t="n"/>
      <c r="F119" s="8">
        <f>IF(ISBLANK(B119),"",IF(I119="L","Baixa",IF(I119="A","Média",IF(I119="","","Alta"))))</f>
        <v/>
      </c>
      <c r="G119" s="7">
        <f>CONCATENATE(B119,I119)</f>
        <v/>
      </c>
      <c r="H119" s="5">
        <f>IF(ISBLANK(B119),"",IF(B119="ALI",IF(I119="L",7,IF(I119="A",10,15)),IF(B119="AIE",IF(I119="L",5,IF(I119="A",7,10)),IF(B119="SE",IF(I119="L",4,IF(I119="A",5,7)),IF(OR(B119="EE",B119="CE"),IF(I119="L",3,IF(I119="A",4,6)),0)))))</f>
        <v/>
      </c>
      <c r="I119" s="110">
        <f>IF(OR(ISBLANK(D119),ISBLANK(E119)),IF(OR(B119="ALI",B119="AIE"),"L",IF(OR(B119="EE",B119="SE",B119="CE"),"A","")),IF(B119="EE",IF(E119&gt;=3,IF(D119&gt;=5,"H","A"),IF(E119&gt;=2,IF(D119&gt;=16,"H",IF(D119&lt;=4,"L","A")),IF(D119&lt;=15,"L","A"))),IF(OR(B119="SE",B119="CE"),IF(E119&gt;=4,IF(D119&gt;=6,"H","A"),IF(E119&gt;=2,IF(D119&gt;=20,"H",IF(D119&lt;=5,"L","A")),IF(D119&lt;=19,"L","A"))),IF(OR(B119="ALI",B119="AIE"),IF(E119&gt;=6,IF(D119&gt;=20,"H","A"),IF(E119&gt;=2,IF(D119&gt;=51,"H",IF(D119&lt;=19,"L","A")),IF(D119&lt;=50,"L","A"))),""))))</f>
        <v/>
      </c>
      <c r="J119" s="7">
        <f>CONCATENATE(B119,C119)</f>
        <v/>
      </c>
      <c r="K119" s="9">
        <f>IF(OR(H119="",H119=0),L119,H119)</f>
        <v/>
      </c>
      <c r="L119" s="9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 t="n"/>
      <c r="N119" s="115" t="n"/>
      <c r="O119" s="6" t="n"/>
    </row>
    <row r="120">
      <c r="A120" s="112" t="n"/>
      <c r="B120" s="4" t="n"/>
      <c r="C120" s="4" t="n"/>
      <c r="D120" s="7" t="n"/>
      <c r="E120" s="7" t="n"/>
      <c r="F120" s="8">
        <f>IF(ISBLANK(B120),"",IF(I120="L","Baixa",IF(I120="A","Média",IF(I120="","","Alta"))))</f>
        <v/>
      </c>
      <c r="G120" s="7">
        <f>CONCATENATE(B120,I120)</f>
        <v/>
      </c>
      <c r="H120" s="5">
        <f>IF(ISBLANK(B120),"",IF(B120="ALI",IF(I120="L",7,IF(I120="A",10,15)),IF(B120="AIE",IF(I120="L",5,IF(I120="A",7,10)),IF(B120="SE",IF(I120="L",4,IF(I120="A",5,7)),IF(OR(B120="EE",B120="CE"),IF(I120="L",3,IF(I120="A",4,6)),0)))))</f>
        <v/>
      </c>
      <c r="I120" s="110">
        <f>IF(OR(ISBLANK(D120),ISBLANK(E120)),IF(OR(B120="ALI",B120="AIE"),"L",IF(OR(B120="EE",B120="SE",B120="CE"),"A","")),IF(B120="EE",IF(E120&gt;=3,IF(D120&gt;=5,"H","A"),IF(E120&gt;=2,IF(D120&gt;=16,"H",IF(D120&lt;=4,"L","A")),IF(D120&lt;=15,"L","A"))),IF(OR(B120="SE",B120="CE"),IF(E120&gt;=4,IF(D120&gt;=6,"H","A"),IF(E120&gt;=2,IF(D120&gt;=20,"H",IF(D120&lt;=5,"L","A")),IF(D120&lt;=19,"L","A"))),IF(OR(B120="ALI",B120="AIE"),IF(E120&gt;=6,IF(D120&gt;=20,"H","A"),IF(E120&gt;=2,IF(D120&gt;=51,"H",IF(D120&lt;=19,"L","A")),IF(D120&lt;=50,"L","A"))),""))))</f>
        <v/>
      </c>
      <c r="J120" s="7">
        <f>CONCATENATE(B120,C120)</f>
        <v/>
      </c>
      <c r="K120" s="9">
        <f>IF(OR(H120="",H120=0),L120,H120)</f>
        <v/>
      </c>
      <c r="L120" s="9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 t="n"/>
      <c r="N120" s="115" t="n"/>
      <c r="O120" s="6" t="n"/>
    </row>
    <row r="121">
      <c r="A121" s="112" t="n"/>
      <c r="B121" s="4" t="n"/>
      <c r="C121" s="4" t="n"/>
      <c r="D121" s="7" t="n"/>
      <c r="E121" s="7" t="n"/>
      <c r="F121" s="8">
        <f>IF(ISBLANK(B121),"",IF(I121="L","Baixa",IF(I121="A","Média",IF(I121="","","Alta"))))</f>
        <v/>
      </c>
      <c r="G121" s="7">
        <f>CONCATENATE(B121,I121)</f>
        <v/>
      </c>
      <c r="H121" s="5">
        <f>IF(ISBLANK(B121),"",IF(B121="ALI",IF(I121="L",7,IF(I121="A",10,15)),IF(B121="AIE",IF(I121="L",5,IF(I121="A",7,10)),IF(B121="SE",IF(I121="L",4,IF(I121="A",5,7)),IF(OR(B121="EE",B121="CE"),IF(I121="L",3,IF(I121="A",4,6)),0)))))</f>
        <v/>
      </c>
      <c r="I121" s="110">
        <f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>
        <f>CONCATENATE(B121,C121)</f>
        <v/>
      </c>
      <c r="K121" s="9">
        <f>IF(OR(H121="",H121=0),L121,H121)</f>
        <v/>
      </c>
      <c r="L121" s="9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 t="n"/>
      <c r="N121" s="115" t="n"/>
      <c r="O121" s="6" t="n"/>
    </row>
    <row r="122">
      <c r="A122" s="112" t="n"/>
      <c r="B122" s="4" t="n"/>
      <c r="C122" s="4" t="n"/>
      <c r="D122" s="7" t="n"/>
      <c r="E122" s="7" t="n"/>
      <c r="F122" s="8">
        <f>IF(ISBLANK(B122),"",IF(I122="L","Baixa",IF(I122="A","Média",IF(I122="","","Alta"))))</f>
        <v/>
      </c>
      <c r="G122" s="7">
        <f>CONCATENATE(B122,I122)</f>
        <v/>
      </c>
      <c r="H122" s="5">
        <f>IF(ISBLANK(B122),"",IF(B122="ALI",IF(I122="L",7,IF(I122="A",10,15)),IF(B122="AIE",IF(I122="L",5,IF(I122="A",7,10)),IF(B122="SE",IF(I122="L",4,IF(I122="A",5,7)),IF(OR(B122="EE",B122="CE"),IF(I122="L",3,IF(I122="A",4,6)),0)))))</f>
        <v/>
      </c>
      <c r="I122" s="110">
        <f>IF(OR(ISBLANK(D122),ISBLANK(E122)),IF(OR(B122="ALI",B122="AIE"),"L",IF(OR(B122="EE",B122="SE",B122="CE"),"A","")),IF(B122="EE",IF(E122&gt;=3,IF(D122&gt;=5,"H","A"),IF(E122&gt;=2,IF(D122&gt;=16,"H",IF(D122&lt;=4,"L","A")),IF(D122&lt;=15,"L","A"))),IF(OR(B122="SE",B122="CE"),IF(E122&gt;=4,IF(D122&gt;=6,"H","A"),IF(E122&gt;=2,IF(D122&gt;=20,"H",IF(D122&lt;=5,"L","A")),IF(D122&lt;=19,"L","A"))),IF(OR(B122="ALI",B122="AIE"),IF(E122&gt;=6,IF(D122&gt;=20,"H","A"),IF(E122&gt;=2,IF(D122&gt;=51,"H",IF(D122&lt;=19,"L","A")),IF(D122&lt;=50,"L","A"))),""))))</f>
        <v/>
      </c>
      <c r="J122" s="7">
        <f>CONCATENATE(B122,C122)</f>
        <v/>
      </c>
      <c r="K122" s="9">
        <f>IF(OR(H122="",H122=0),L122,H122)</f>
        <v/>
      </c>
      <c r="L122" s="9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 t="n"/>
      <c r="N122" s="115" t="n"/>
      <c r="O122" s="6" t="n"/>
    </row>
    <row r="123">
      <c r="A123" s="112" t="n"/>
      <c r="B123" s="4" t="n"/>
      <c r="C123" s="4" t="n"/>
      <c r="D123" s="7" t="n"/>
      <c r="E123" s="7" t="n"/>
      <c r="F123" s="8">
        <f>IF(ISBLANK(B123),"",IF(I123="L","Baixa",IF(I123="A","Média",IF(I123="","","Alta"))))</f>
        <v/>
      </c>
      <c r="G123" s="7">
        <f>CONCATENATE(B123,I123)</f>
        <v/>
      </c>
      <c r="H123" s="5">
        <f>IF(ISBLANK(B123),"",IF(B123="ALI",IF(I123="L",7,IF(I123="A",10,15)),IF(B123="AIE",IF(I123="L",5,IF(I123="A",7,10)),IF(B123="SE",IF(I123="L",4,IF(I123="A",5,7)),IF(OR(B123="EE",B123="CE"),IF(I123="L",3,IF(I123="A",4,6)),0)))))</f>
        <v/>
      </c>
      <c r="I123" s="110">
        <f>IF(OR(ISBLANK(D123),ISBLANK(E123)),IF(OR(B123="ALI",B123="AIE"),"L",IF(OR(B123="EE",B123="SE",B123="CE"),"A","")),IF(B123="EE",IF(E123&gt;=3,IF(D123&gt;=5,"H","A"),IF(E123&gt;=2,IF(D123&gt;=16,"H",IF(D123&lt;=4,"L","A")),IF(D123&lt;=15,"L","A"))),IF(OR(B123="SE",B123="CE"),IF(E123&gt;=4,IF(D123&gt;=6,"H","A"),IF(E123&gt;=2,IF(D123&gt;=20,"H",IF(D123&lt;=5,"L","A")),IF(D123&lt;=19,"L","A"))),IF(OR(B123="ALI",B123="AIE"),IF(E123&gt;=6,IF(D123&gt;=20,"H","A"),IF(E123&gt;=2,IF(D123&gt;=51,"H",IF(D123&lt;=19,"L","A")),IF(D123&lt;=50,"L","A"))),""))))</f>
        <v/>
      </c>
      <c r="J123" s="7">
        <f>CONCATENATE(B123,C123)</f>
        <v/>
      </c>
      <c r="K123" s="9">
        <f>IF(OR(H123="",H123=0),L123,H123)</f>
        <v/>
      </c>
      <c r="L123" s="9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 t="n"/>
      <c r="N123" s="115" t="n"/>
      <c r="O123" s="6" t="n"/>
    </row>
    <row r="124">
      <c r="A124" s="112" t="n"/>
      <c r="B124" s="4" t="n"/>
      <c r="C124" s="4" t="n"/>
      <c r="D124" s="7" t="n"/>
      <c r="E124" s="7" t="n"/>
      <c r="F124" s="8">
        <f>IF(ISBLANK(B124),"",IF(I124="L","Baixa",IF(I124="A","Média",IF(I124="","","Alta"))))</f>
        <v/>
      </c>
      <c r="G124" s="7">
        <f>CONCATENATE(B124,I124)</f>
        <v/>
      </c>
      <c r="H124" s="5">
        <f>IF(ISBLANK(B124),"",IF(B124="ALI",IF(I124="L",7,IF(I124="A",10,15)),IF(B124="AIE",IF(I124="L",5,IF(I124="A",7,10)),IF(B124="SE",IF(I124="L",4,IF(I124="A",5,7)),IF(OR(B124="EE",B124="CE"),IF(I124="L",3,IF(I124="A",4,6)),0)))))</f>
        <v/>
      </c>
      <c r="I124" s="110">
        <f>IF(OR(ISBLANK(D124),ISBLANK(E124)),IF(OR(B124="ALI",B124="AIE"),"L",IF(OR(B124="EE",B124="SE",B124="CE"),"A","")),IF(B124="EE",IF(E124&gt;=3,IF(D124&gt;=5,"H","A"),IF(E124&gt;=2,IF(D124&gt;=16,"H",IF(D124&lt;=4,"L","A")),IF(D124&lt;=15,"L","A"))),IF(OR(B124="SE",B124="CE"),IF(E124&gt;=4,IF(D124&gt;=6,"H","A"),IF(E124&gt;=2,IF(D124&gt;=20,"H",IF(D124&lt;=5,"L","A")),IF(D124&lt;=19,"L","A"))),IF(OR(B124="ALI",B124="AIE"),IF(E124&gt;=6,IF(D124&gt;=20,"H","A"),IF(E124&gt;=2,IF(D124&gt;=51,"H",IF(D124&lt;=19,"L","A")),IF(D124&lt;=50,"L","A"))),""))))</f>
        <v/>
      </c>
      <c r="J124" s="7">
        <f>CONCATENATE(B124,C124)</f>
        <v/>
      </c>
      <c r="K124" s="9">
        <f>IF(OR(H124="",H124=0),L124,H124)</f>
        <v/>
      </c>
      <c r="L124" s="9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 t="n"/>
      <c r="N124" s="115" t="n"/>
      <c r="O124" s="6" t="n"/>
    </row>
    <row r="125">
      <c r="A125" s="112" t="n"/>
      <c r="B125" s="4" t="n"/>
      <c r="C125" s="4" t="n"/>
      <c r="D125" s="7" t="n"/>
      <c r="E125" s="7" t="n"/>
      <c r="F125" s="8">
        <f>IF(ISBLANK(B125),"",IF(I125="L","Baixa",IF(I125="A","Média",IF(I125="","","Alta"))))</f>
        <v/>
      </c>
      <c r="G125" s="7">
        <f>CONCATENATE(B125,I125)</f>
        <v/>
      </c>
      <c r="H125" s="5">
        <f>IF(ISBLANK(B125),"",IF(B125="ALI",IF(I125="L",7,IF(I125="A",10,15)),IF(B125="AIE",IF(I125="L",5,IF(I125="A",7,10)),IF(B125="SE",IF(I125="L",4,IF(I125="A",5,7)),IF(OR(B125="EE",B125="CE"),IF(I125="L",3,IF(I125="A",4,6)),0)))))</f>
        <v/>
      </c>
      <c r="I125" s="110">
        <f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/>
      </c>
      <c r="J125" s="7">
        <f>CONCATENATE(B125,C125)</f>
        <v/>
      </c>
      <c r="K125" s="9">
        <f>IF(OR(H125="",H125=0),L125,H125)</f>
        <v/>
      </c>
      <c r="L125" s="9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 t="n"/>
      <c r="N125" s="115" t="n"/>
      <c r="O125" s="6" t="n"/>
    </row>
    <row r="126">
      <c r="A126" s="112" t="n"/>
      <c r="B126" s="4" t="n"/>
      <c r="C126" s="4" t="n"/>
      <c r="D126" s="7" t="n"/>
      <c r="E126" s="7" t="n"/>
      <c r="F126" s="8">
        <f>IF(ISBLANK(B126),"",IF(I126="L","Baixa",IF(I126="A","Média",IF(I126="","","Alta"))))</f>
        <v/>
      </c>
      <c r="G126" s="7">
        <f>CONCATENATE(B126,I126)</f>
        <v/>
      </c>
      <c r="H126" s="5">
        <f>IF(ISBLANK(B126),"",IF(B126="ALI",IF(I126="L",7,IF(I126="A",10,15)),IF(B126="AIE",IF(I126="L",5,IF(I126="A",7,10)),IF(B126="SE",IF(I126="L",4,IF(I126="A",5,7)),IF(OR(B126="EE",B126="CE"),IF(I126="L",3,IF(I126="A",4,6)),0)))))</f>
        <v/>
      </c>
      <c r="I126" s="110">
        <f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/>
      </c>
      <c r="J126" s="7">
        <f>CONCATENATE(B126,C126)</f>
        <v/>
      </c>
      <c r="K126" s="9">
        <f>IF(OR(H126="",H126=0),L126,H126)</f>
        <v/>
      </c>
      <c r="L126" s="9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 t="n"/>
      <c r="N126" s="115" t="n"/>
      <c r="O126" s="6" t="n"/>
    </row>
    <row r="127">
      <c r="A127" s="112" t="n"/>
      <c r="B127" s="4" t="n"/>
      <c r="C127" s="4" t="n"/>
      <c r="D127" s="7" t="n"/>
      <c r="E127" s="7" t="n"/>
      <c r="F127" s="8">
        <f>IF(ISBLANK(B127),"",IF(I127="L","Baixa",IF(I127="A","Média",IF(I127="","","Alta"))))</f>
        <v/>
      </c>
      <c r="G127" s="7">
        <f>CONCATENATE(B127,I127)</f>
        <v/>
      </c>
      <c r="H127" s="5">
        <f>IF(ISBLANK(B127),"",IF(B127="ALI",IF(I127="L",7,IF(I127="A",10,15)),IF(B127="AIE",IF(I127="L",5,IF(I127="A",7,10)),IF(B127="SE",IF(I127="L",4,IF(I127="A",5,7)),IF(OR(B127="EE",B127="CE"),IF(I127="L",3,IF(I127="A",4,6)),0)))))</f>
        <v/>
      </c>
      <c r="I127" s="110">
        <f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/>
      </c>
      <c r="J127" s="7">
        <f>CONCATENATE(B127,C127)</f>
        <v/>
      </c>
      <c r="K127" s="9">
        <f>IF(OR(H127="",H127=0),L127,H127)</f>
        <v/>
      </c>
      <c r="L127" s="9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 t="n"/>
      <c r="N127" s="115" t="n"/>
      <c r="O127" s="6" t="n"/>
    </row>
    <row r="128">
      <c r="A128" s="112" t="n"/>
      <c r="B128" s="4" t="n"/>
      <c r="C128" s="4" t="n"/>
      <c r="D128" s="7" t="n"/>
      <c r="E128" s="7" t="n"/>
      <c r="F128" s="8">
        <f>IF(ISBLANK(B128),"",IF(I128="L","Baixa",IF(I128="A","Média",IF(I128="","","Alta"))))</f>
        <v/>
      </c>
      <c r="G128" s="7">
        <f>CONCATENATE(B128,I128)</f>
        <v/>
      </c>
      <c r="H128" s="5">
        <f>IF(ISBLANK(B128),"",IF(B128="ALI",IF(I128="L",7,IF(I128="A",10,15)),IF(B128="AIE",IF(I128="L",5,IF(I128="A",7,10)),IF(B128="SE",IF(I128="L",4,IF(I128="A",5,7)),IF(OR(B128="EE",B128="CE"),IF(I128="L",3,IF(I128="A",4,6)),0)))))</f>
        <v/>
      </c>
      <c r="I128" s="110">
        <f>IF(OR(ISBLANK(D128),ISBLANK(E128)),IF(OR(B128="ALI",B128="AIE"),"L",IF(OR(B128="EE",B128="SE",B128="CE"),"A","")),IF(B128="EE",IF(E128&gt;=3,IF(D128&gt;=5,"H","A"),IF(E128&gt;=2,IF(D128&gt;=16,"H",IF(D128&lt;=4,"L","A")),IF(D128&lt;=15,"L","A"))),IF(OR(B128="SE",B128="CE"),IF(E128&gt;=4,IF(D128&gt;=6,"H","A"),IF(E128&gt;=2,IF(D128&gt;=20,"H",IF(D128&lt;=5,"L","A")),IF(D128&lt;=19,"L","A"))),IF(OR(B128="ALI",B128="AIE"),IF(E128&gt;=6,IF(D128&gt;=20,"H","A"),IF(E128&gt;=2,IF(D128&gt;=51,"H",IF(D128&lt;=19,"L","A")),IF(D128&lt;=50,"L","A"))),""))))</f>
        <v/>
      </c>
      <c r="J128" s="7">
        <f>CONCATENATE(B128,C128)</f>
        <v/>
      </c>
      <c r="K128" s="9">
        <f>IF(OR(H128="",H128=0),L128,H128)</f>
        <v/>
      </c>
      <c r="L128" s="9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 t="n"/>
      <c r="N128" s="115" t="n"/>
      <c r="O128" s="6" t="n"/>
    </row>
    <row r="129">
      <c r="A129" s="112" t="n"/>
      <c r="B129" s="4" t="n"/>
      <c r="C129" s="4" t="n"/>
      <c r="D129" s="7" t="n"/>
      <c r="E129" s="7" t="n"/>
      <c r="F129" s="8">
        <f>IF(ISBLANK(B129),"",IF(I129="L","Baixa",IF(I129="A","Média",IF(I129="","","Alta"))))</f>
        <v/>
      </c>
      <c r="G129" s="7">
        <f>CONCATENATE(B129,I129)</f>
        <v/>
      </c>
      <c r="H129" s="5">
        <f>IF(ISBLANK(B129),"",IF(B129="ALI",IF(I129="L",7,IF(I129="A",10,15)),IF(B129="AIE",IF(I129="L",5,IF(I129="A",7,10)),IF(B129="SE",IF(I129="L",4,IF(I129="A",5,7)),IF(OR(B129="EE",B129="CE"),IF(I129="L",3,IF(I129="A",4,6)),0)))))</f>
        <v/>
      </c>
      <c r="I129" s="110">
        <f>IF(OR(ISBLANK(D129),ISBLANK(E129)),IF(OR(B129="ALI",B129="AIE"),"L",IF(OR(B129="EE",B129="SE",B129="CE"),"A","")),IF(B129="EE",IF(E129&gt;=3,IF(D129&gt;=5,"H","A"),IF(E129&gt;=2,IF(D129&gt;=16,"H",IF(D129&lt;=4,"L","A")),IF(D129&lt;=15,"L","A"))),IF(OR(B129="SE",B129="CE"),IF(E129&gt;=4,IF(D129&gt;=6,"H","A"),IF(E129&gt;=2,IF(D129&gt;=20,"H",IF(D129&lt;=5,"L","A")),IF(D129&lt;=19,"L","A"))),IF(OR(B129="ALI",B129="AIE"),IF(E129&gt;=6,IF(D129&gt;=20,"H","A"),IF(E129&gt;=2,IF(D129&gt;=51,"H",IF(D129&lt;=19,"L","A")),IF(D129&lt;=50,"L","A"))),""))))</f>
        <v/>
      </c>
      <c r="J129" s="7">
        <f>CONCATENATE(B129,C129)</f>
        <v/>
      </c>
      <c r="K129" s="9">
        <f>IF(OR(H129="",H129=0),L129,H129)</f>
        <v/>
      </c>
      <c r="L129" s="9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 t="n"/>
      <c r="N129" s="115" t="n"/>
      <c r="O129" s="6" t="n"/>
    </row>
    <row r="130">
      <c r="A130" s="112" t="n"/>
      <c r="B130" s="4" t="n"/>
      <c r="C130" s="4" t="n"/>
      <c r="D130" s="7" t="n"/>
      <c r="E130" s="7" t="n"/>
      <c r="F130" s="8">
        <f>IF(ISBLANK(B130),"",IF(I130="L","Baixa",IF(I130="A","Média",IF(I130="","","Alta"))))</f>
        <v/>
      </c>
      <c r="G130" s="7">
        <f>CONCATENATE(B130,I130)</f>
        <v/>
      </c>
      <c r="H130" s="5">
        <f>IF(ISBLANK(B130),"",IF(B130="ALI",IF(I130="L",7,IF(I130="A",10,15)),IF(B130="AIE",IF(I130="L",5,IF(I130="A",7,10)),IF(B130="SE",IF(I130="L",4,IF(I130="A",5,7)),IF(OR(B130="EE",B130="CE"),IF(I130="L",3,IF(I130="A",4,6)),0)))))</f>
        <v/>
      </c>
      <c r="I130" s="110">
        <f>IF(OR(ISBLANK(D130),ISBLANK(E130)),IF(OR(B130="ALI",B130="AIE"),"L",IF(OR(B130="EE",B130="SE",B130="CE"),"A","")),IF(B130="EE",IF(E130&gt;=3,IF(D130&gt;=5,"H","A"),IF(E130&gt;=2,IF(D130&gt;=16,"H",IF(D130&lt;=4,"L","A")),IF(D130&lt;=15,"L","A"))),IF(OR(B130="SE",B130="CE"),IF(E130&gt;=4,IF(D130&gt;=6,"H","A"),IF(E130&gt;=2,IF(D130&gt;=20,"H",IF(D130&lt;=5,"L","A")),IF(D130&lt;=19,"L","A"))),IF(OR(B130="ALI",B130="AIE"),IF(E130&gt;=6,IF(D130&gt;=20,"H","A"),IF(E130&gt;=2,IF(D130&gt;=51,"H",IF(D130&lt;=19,"L","A")),IF(D130&lt;=50,"L","A"))),""))))</f>
        <v/>
      </c>
      <c r="J130" s="7">
        <f>CONCATENATE(B130,C130)</f>
        <v/>
      </c>
      <c r="K130" s="9">
        <f>IF(OR(H130="",H130=0),L130,H130)</f>
        <v/>
      </c>
      <c r="L130" s="9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 t="n"/>
      <c r="N130" s="115" t="n"/>
      <c r="O130" s="6" t="n"/>
    </row>
    <row r="131">
      <c r="A131" s="112" t="n"/>
      <c r="B131" s="4" t="n"/>
      <c r="C131" s="4" t="n"/>
      <c r="D131" s="7" t="n"/>
      <c r="E131" s="7" t="n"/>
      <c r="F131" s="8">
        <f>IF(ISBLANK(B131),"",IF(I131="L","Baixa",IF(I131="A","Média",IF(I131="","","Alta"))))</f>
        <v/>
      </c>
      <c r="G131" s="7">
        <f>CONCATENATE(B131,I131)</f>
        <v/>
      </c>
      <c r="H131" s="5">
        <f>IF(ISBLANK(B131),"",IF(B131="ALI",IF(I131="L",7,IF(I131="A",10,15)),IF(B131="AIE",IF(I131="L",5,IF(I131="A",7,10)),IF(B131="SE",IF(I131="L",4,IF(I131="A",5,7)),IF(OR(B131="EE",B131="CE"),IF(I131="L",3,IF(I131="A",4,6)),0)))))</f>
        <v/>
      </c>
      <c r="I131" s="110">
        <f>IF(OR(ISBLANK(D131),ISBLANK(E131)),IF(OR(B131="ALI",B131="AIE"),"L",IF(OR(B131="EE",B131="SE",B131="CE"),"A","")),IF(B131="EE",IF(E131&gt;=3,IF(D131&gt;=5,"H","A"),IF(E131&gt;=2,IF(D131&gt;=16,"H",IF(D131&lt;=4,"L","A")),IF(D131&lt;=15,"L","A"))),IF(OR(B131="SE",B131="CE"),IF(E131&gt;=4,IF(D131&gt;=6,"H","A"),IF(E131&gt;=2,IF(D131&gt;=20,"H",IF(D131&lt;=5,"L","A")),IF(D131&lt;=19,"L","A"))),IF(OR(B131="ALI",B131="AIE"),IF(E131&gt;=6,IF(D131&gt;=20,"H","A"),IF(E131&gt;=2,IF(D131&gt;=51,"H",IF(D131&lt;=19,"L","A")),IF(D131&lt;=50,"L","A"))),""))))</f>
        <v/>
      </c>
      <c r="J131" s="7">
        <f>CONCATENATE(B131,C131)</f>
        <v/>
      </c>
      <c r="K131" s="9">
        <f>IF(OR(H131="",H131=0),L131,H131)</f>
        <v/>
      </c>
      <c r="L131" s="9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 t="n"/>
      <c r="N131" s="115" t="n"/>
      <c r="O131" s="6" t="n"/>
    </row>
    <row r="132">
      <c r="A132" s="112" t="n"/>
      <c r="B132" s="4" t="n"/>
      <c r="C132" s="4" t="n"/>
      <c r="D132" s="7" t="n"/>
      <c r="E132" s="7" t="n"/>
      <c r="F132" s="8">
        <f>IF(ISBLANK(B132),"",IF(I132="L","Baixa",IF(I132="A","Média",IF(I132="","","Alta"))))</f>
        <v/>
      </c>
      <c r="G132" s="7">
        <f>CONCATENATE(B132,I132)</f>
        <v/>
      </c>
      <c r="H132" s="5">
        <f>IF(ISBLANK(B132),"",IF(B132="ALI",IF(I132="L",7,IF(I132="A",10,15)),IF(B132="AIE",IF(I132="L",5,IF(I132="A",7,10)),IF(B132="SE",IF(I132="L",4,IF(I132="A",5,7)),IF(OR(B132="EE",B132="CE"),IF(I132="L",3,IF(I132="A",4,6)),0)))))</f>
        <v/>
      </c>
      <c r="I132" s="110">
        <f>IF(OR(ISBLANK(D132),ISBLANK(E132)),IF(OR(B132="ALI",B132="AIE"),"L",IF(OR(B132="EE",B132="SE",B132="CE"),"A","")),IF(B132="EE",IF(E132&gt;=3,IF(D132&gt;=5,"H","A"),IF(E132&gt;=2,IF(D132&gt;=16,"H",IF(D132&lt;=4,"L","A")),IF(D132&lt;=15,"L","A"))),IF(OR(B132="SE",B132="CE"),IF(E132&gt;=4,IF(D132&gt;=6,"H","A"),IF(E132&gt;=2,IF(D132&gt;=20,"H",IF(D132&lt;=5,"L","A")),IF(D132&lt;=19,"L","A"))),IF(OR(B132="ALI",B132="AIE"),IF(E132&gt;=6,IF(D132&gt;=20,"H","A"),IF(E132&gt;=2,IF(D132&gt;=51,"H",IF(D132&lt;=19,"L","A")),IF(D132&lt;=50,"L","A"))),""))))</f>
        <v/>
      </c>
      <c r="J132" s="7">
        <f>CONCATENATE(B132,C132)</f>
        <v/>
      </c>
      <c r="K132" s="9">
        <f>IF(OR(H132="",H132=0),L132,H132)</f>
        <v/>
      </c>
      <c r="L132" s="9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 t="n"/>
      <c r="N132" s="115" t="n"/>
      <c r="O132" s="6" t="n"/>
    </row>
    <row r="133">
      <c r="A133" s="112" t="n"/>
      <c r="B133" s="4" t="n"/>
      <c r="C133" s="4" t="n"/>
      <c r="D133" s="7" t="n"/>
      <c r="E133" s="7" t="n"/>
      <c r="F133" s="8">
        <f>IF(ISBLANK(B133),"",IF(I133="L","Baixa",IF(I133="A","Média",IF(I133="","","Alta"))))</f>
        <v/>
      </c>
      <c r="G133" s="7">
        <f>CONCATENATE(B133,I133)</f>
        <v/>
      </c>
      <c r="H133" s="5">
        <f>IF(ISBLANK(B133),"",IF(B133="ALI",IF(I133="L",7,IF(I133="A",10,15)),IF(B133="AIE",IF(I133="L",5,IF(I133="A",7,10)),IF(B133="SE",IF(I133="L",4,IF(I133="A",5,7)),IF(OR(B133="EE",B133="CE"),IF(I133="L",3,IF(I133="A",4,6)),0)))))</f>
        <v/>
      </c>
      <c r="I133" s="110">
        <f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/>
      </c>
      <c r="J133" s="7">
        <f>CONCATENATE(B133,C133)</f>
        <v/>
      </c>
      <c r="K133" s="9">
        <f>IF(OR(H133="",H133=0),L133,H133)</f>
        <v/>
      </c>
      <c r="L133" s="9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 t="n"/>
      <c r="N133" s="115" t="n"/>
      <c r="O133" s="6" t="n"/>
    </row>
    <row r="134">
      <c r="A134" s="112" t="n"/>
      <c r="B134" s="4" t="n"/>
      <c r="C134" s="4" t="n"/>
      <c r="D134" s="7" t="n"/>
      <c r="E134" s="7" t="n"/>
      <c r="F134" s="8">
        <f>IF(ISBLANK(B134),"",IF(I134="L","Baixa",IF(I134="A","Média",IF(I134="","","Alta"))))</f>
        <v/>
      </c>
      <c r="G134" s="7">
        <f>CONCATENATE(B134,I134)</f>
        <v/>
      </c>
      <c r="H134" s="5">
        <f>IF(ISBLANK(B134),"",IF(B134="ALI",IF(I134="L",7,IF(I134="A",10,15)),IF(B134="AIE",IF(I134="L",5,IF(I134="A",7,10)),IF(B134="SE",IF(I134="L",4,IF(I134="A",5,7)),IF(OR(B134="EE",B134="CE"),IF(I134="L",3,IF(I134="A",4,6)),0)))))</f>
        <v/>
      </c>
      <c r="I134" s="110">
        <f>IF(OR(ISBLANK(D134),ISBLANK(E134)),IF(OR(B134="ALI",B134="AIE"),"L",IF(OR(B134="EE",B134="SE",B134="CE"),"A","")),IF(B134="EE",IF(E134&gt;=3,IF(D134&gt;=5,"H","A"),IF(E134&gt;=2,IF(D134&gt;=16,"H",IF(D134&lt;=4,"L","A")),IF(D134&lt;=15,"L","A"))),IF(OR(B134="SE",B134="CE"),IF(E134&gt;=4,IF(D134&gt;=6,"H","A"),IF(E134&gt;=2,IF(D134&gt;=20,"H",IF(D134&lt;=5,"L","A")),IF(D134&lt;=19,"L","A"))),IF(OR(B134="ALI",B134="AIE"),IF(E134&gt;=6,IF(D134&gt;=20,"H","A"),IF(E134&gt;=2,IF(D134&gt;=51,"H",IF(D134&lt;=19,"L","A")),IF(D134&lt;=50,"L","A"))),""))))</f>
        <v/>
      </c>
      <c r="J134" s="7">
        <f>CONCATENATE(B134,C134)</f>
        <v/>
      </c>
      <c r="K134" s="9">
        <f>IF(OR(H134="",H134=0),L134,H134)</f>
        <v/>
      </c>
      <c r="L134" s="9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 t="n"/>
      <c r="N134" s="115" t="n"/>
      <c r="O134" s="6" t="n"/>
    </row>
    <row r="135">
      <c r="A135" s="112" t="n"/>
      <c r="B135" s="4" t="n"/>
      <c r="C135" s="4" t="n"/>
      <c r="D135" s="7" t="n"/>
      <c r="E135" s="7" t="n"/>
      <c r="F135" s="8">
        <f>IF(ISBLANK(B135),"",IF(I135="L","Baixa",IF(I135="A","Média",IF(I135="","","Alta"))))</f>
        <v/>
      </c>
      <c r="G135" s="7">
        <f>CONCATENATE(B135,I135)</f>
        <v/>
      </c>
      <c r="H135" s="5">
        <f>IF(ISBLANK(B135),"",IF(B135="ALI",IF(I135="L",7,IF(I135="A",10,15)),IF(B135="AIE",IF(I135="L",5,IF(I135="A",7,10)),IF(B135="SE",IF(I135="L",4,IF(I135="A",5,7)),IF(OR(B135="EE",B135="CE"),IF(I135="L",3,IF(I135="A",4,6)),0)))))</f>
        <v/>
      </c>
      <c r="I135" s="110">
        <f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/>
      </c>
      <c r="J135" s="7">
        <f>CONCATENATE(B135,C135)</f>
        <v/>
      </c>
      <c r="K135" s="9">
        <f>IF(OR(H135="",H135=0),L135,H135)</f>
        <v/>
      </c>
      <c r="L135" s="9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 t="n"/>
      <c r="N135" s="115" t="n"/>
      <c r="O135" s="6" t="n"/>
    </row>
    <row r="136">
      <c r="A136" s="112" t="n"/>
      <c r="B136" s="4" t="n"/>
      <c r="C136" s="4" t="n"/>
      <c r="D136" s="7" t="n"/>
      <c r="E136" s="7" t="n"/>
      <c r="F136" s="8">
        <f>IF(ISBLANK(B136),"",IF(I136="L","Baixa",IF(I136="A","Média",IF(I136="","","Alta"))))</f>
        <v/>
      </c>
      <c r="G136" s="7">
        <f>CONCATENATE(B136,I136)</f>
        <v/>
      </c>
      <c r="H136" s="5">
        <f>IF(ISBLANK(B136),"",IF(B136="ALI",IF(I136="L",7,IF(I136="A",10,15)),IF(B136="AIE",IF(I136="L",5,IF(I136="A",7,10)),IF(B136="SE",IF(I136="L",4,IF(I136="A",5,7)),IF(OR(B136="EE",B136="CE"),IF(I136="L",3,IF(I136="A",4,6)),0)))))</f>
        <v/>
      </c>
      <c r="I136" s="110">
        <f>IF(OR(ISBLANK(D136),ISBLANK(E136)),IF(OR(B136="ALI",B136="AIE"),"L",IF(OR(B136="EE",B136="SE",B136="CE"),"A","")),IF(B136="EE",IF(E136&gt;=3,IF(D136&gt;=5,"H","A"),IF(E136&gt;=2,IF(D136&gt;=16,"H",IF(D136&lt;=4,"L","A")),IF(D136&lt;=15,"L","A"))),IF(OR(B136="SE",B136="CE"),IF(E136&gt;=4,IF(D136&gt;=6,"H","A"),IF(E136&gt;=2,IF(D136&gt;=20,"H",IF(D136&lt;=5,"L","A")),IF(D136&lt;=19,"L","A"))),IF(OR(B136="ALI",B136="AIE"),IF(E136&gt;=6,IF(D136&gt;=20,"H","A"),IF(E136&gt;=2,IF(D136&gt;=51,"H",IF(D136&lt;=19,"L","A")),IF(D136&lt;=50,"L","A"))),""))))</f>
        <v/>
      </c>
      <c r="J136" s="7">
        <f>CONCATENATE(B136,C136)</f>
        <v/>
      </c>
      <c r="K136" s="9">
        <f>IF(OR(H136="",H136=0),L136,H136)</f>
        <v/>
      </c>
      <c r="L136" s="9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 t="n"/>
      <c r="N136" s="115" t="n"/>
      <c r="O136" s="6" t="n"/>
    </row>
    <row r="137">
      <c r="A137" s="112" t="n"/>
      <c r="B137" s="4" t="n"/>
      <c r="C137" s="4" t="n"/>
      <c r="D137" s="7" t="n"/>
      <c r="E137" s="7" t="n"/>
      <c r="F137" s="8">
        <f>IF(ISBLANK(B137),"",IF(I137="L","Baixa",IF(I137="A","Média",IF(I137="","","Alta"))))</f>
        <v/>
      </c>
      <c r="G137" s="7">
        <f>CONCATENATE(B137,I137)</f>
        <v/>
      </c>
      <c r="H137" s="5">
        <f>IF(ISBLANK(B137),"",IF(B137="ALI",IF(I137="L",7,IF(I137="A",10,15)),IF(B137="AIE",IF(I137="L",5,IF(I137="A",7,10)),IF(B137="SE",IF(I137="L",4,IF(I137="A",5,7)),IF(OR(B137="EE",B137="CE"),IF(I137="L",3,IF(I137="A",4,6)),0)))))</f>
        <v/>
      </c>
      <c r="I137" s="110">
        <f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/>
      </c>
      <c r="J137" s="7">
        <f>CONCATENATE(B137,C137)</f>
        <v/>
      </c>
      <c r="K137" s="9">
        <f>IF(OR(H137="",H137=0),L137,H137)</f>
        <v/>
      </c>
      <c r="L137" s="9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 t="n"/>
      <c r="N137" s="115" t="n"/>
      <c r="O137" s="6" t="n"/>
    </row>
    <row r="138">
      <c r="A138" s="112" t="n"/>
      <c r="B138" s="4" t="n"/>
      <c r="C138" s="4" t="n"/>
      <c r="D138" s="7" t="n"/>
      <c r="E138" s="7" t="n"/>
      <c r="F138" s="8">
        <f>IF(ISBLANK(B138),"",IF(I138="L","Baixa",IF(I138="A","Média",IF(I138="","","Alta"))))</f>
        <v/>
      </c>
      <c r="G138" s="7">
        <f>CONCATENATE(B138,I138)</f>
        <v/>
      </c>
      <c r="H138" s="5">
        <f>IF(ISBLANK(B138),"",IF(B138="ALI",IF(I138="L",7,IF(I138="A",10,15)),IF(B138="AIE",IF(I138="L",5,IF(I138="A",7,10)),IF(B138="SE",IF(I138="L",4,IF(I138="A",5,7)),IF(OR(B138="EE",B138="CE"),IF(I138="L",3,IF(I138="A",4,6)),0)))))</f>
        <v/>
      </c>
      <c r="I138" s="110">
        <f>IF(OR(ISBLANK(D138),ISBLANK(E138)),IF(OR(B138="ALI",B138="AIE"),"L",IF(OR(B138="EE",B138="SE",B138="CE"),"A","")),IF(B138="EE",IF(E138&gt;=3,IF(D138&gt;=5,"H","A"),IF(E138&gt;=2,IF(D138&gt;=16,"H",IF(D138&lt;=4,"L","A")),IF(D138&lt;=15,"L","A"))),IF(OR(B138="SE",B138="CE"),IF(E138&gt;=4,IF(D138&gt;=6,"H","A"),IF(E138&gt;=2,IF(D138&gt;=20,"H",IF(D138&lt;=5,"L","A")),IF(D138&lt;=19,"L","A"))),IF(OR(B138="ALI",B138="AIE"),IF(E138&gt;=6,IF(D138&gt;=20,"H","A"),IF(E138&gt;=2,IF(D138&gt;=51,"H",IF(D138&lt;=19,"L","A")),IF(D138&lt;=50,"L","A"))),""))))</f>
        <v/>
      </c>
      <c r="J138" s="7">
        <f>CONCATENATE(B138,C138)</f>
        <v/>
      </c>
      <c r="K138" s="9">
        <f>IF(OR(H138="",H138=0),L138,H138)</f>
        <v/>
      </c>
      <c r="L138" s="9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 t="n"/>
      <c r="N138" s="115" t="n"/>
      <c r="O138" s="6" t="n"/>
    </row>
    <row r="139">
      <c r="A139" s="112" t="n"/>
      <c r="B139" s="4" t="n"/>
      <c r="C139" s="4" t="n"/>
      <c r="D139" s="7" t="n"/>
      <c r="E139" s="7" t="n"/>
      <c r="F139" s="8">
        <f>IF(ISBLANK(B139),"",IF(I139="L","Baixa",IF(I139="A","Média",IF(I139="","","Alta"))))</f>
        <v/>
      </c>
      <c r="G139" s="7">
        <f>CONCATENATE(B139,I139)</f>
        <v/>
      </c>
      <c r="H139" s="5">
        <f>IF(ISBLANK(B139),"",IF(B139="ALI",IF(I139="L",7,IF(I139="A",10,15)),IF(B139="AIE",IF(I139="L",5,IF(I139="A",7,10)),IF(B139="SE",IF(I139="L",4,IF(I139="A",5,7)),IF(OR(B139="EE",B139="CE"),IF(I139="L",3,IF(I139="A",4,6)),0)))))</f>
        <v/>
      </c>
      <c r="I139" s="110">
        <f>IF(OR(ISBLANK(D139),ISBLANK(E139)),IF(OR(B139="ALI",B139="AIE"),"L",IF(OR(B139="EE",B139="SE",B139="CE"),"A","")),IF(B139="EE",IF(E139&gt;=3,IF(D139&gt;=5,"H","A"),IF(E139&gt;=2,IF(D139&gt;=16,"H",IF(D139&lt;=4,"L","A")),IF(D139&lt;=15,"L","A"))),IF(OR(B139="SE",B139="CE"),IF(E139&gt;=4,IF(D139&gt;=6,"H","A"),IF(E139&gt;=2,IF(D139&gt;=20,"H",IF(D139&lt;=5,"L","A")),IF(D139&lt;=19,"L","A"))),IF(OR(B139="ALI",B139="AIE"),IF(E139&gt;=6,IF(D139&gt;=20,"H","A"),IF(E139&gt;=2,IF(D139&gt;=51,"H",IF(D139&lt;=19,"L","A")),IF(D139&lt;=50,"L","A"))),""))))</f>
        <v/>
      </c>
      <c r="J139" s="7">
        <f>CONCATENATE(B139,C139)</f>
        <v/>
      </c>
      <c r="K139" s="9">
        <f>IF(OR(H139="",H139=0),L139,H139)</f>
        <v/>
      </c>
      <c r="L139" s="9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 t="n"/>
      <c r="N139" s="115" t="n"/>
      <c r="O139" s="6" t="n"/>
    </row>
    <row r="140">
      <c r="A140" s="112" t="n"/>
      <c r="B140" s="4" t="n"/>
      <c r="C140" s="4" t="n"/>
      <c r="D140" s="7" t="n"/>
      <c r="E140" s="7" t="n"/>
      <c r="F140" s="8">
        <f>IF(ISBLANK(B140),"",IF(I140="L","Baixa",IF(I140="A","Média",IF(I140="","","Alta"))))</f>
        <v/>
      </c>
      <c r="G140" s="7">
        <f>CONCATENATE(B140,I140)</f>
        <v/>
      </c>
      <c r="H140" s="5">
        <f>IF(ISBLANK(B140),"",IF(B140="ALI",IF(I140="L",7,IF(I140="A",10,15)),IF(B140="AIE",IF(I140="L",5,IF(I140="A",7,10)),IF(B140="SE",IF(I140="L",4,IF(I140="A",5,7)),IF(OR(B140="EE",B140="CE"),IF(I140="L",3,IF(I140="A",4,6)),0)))))</f>
        <v/>
      </c>
      <c r="I140" s="110">
        <f>IF(OR(ISBLANK(D140),ISBLANK(E140)),IF(OR(B140="ALI",B140="AIE"),"L",IF(OR(B140="EE",B140="SE",B140="CE"),"A","")),IF(B140="EE",IF(E140&gt;=3,IF(D140&gt;=5,"H","A"),IF(E140&gt;=2,IF(D140&gt;=16,"H",IF(D140&lt;=4,"L","A")),IF(D140&lt;=15,"L","A"))),IF(OR(B140="SE",B140="CE"),IF(E140&gt;=4,IF(D140&gt;=6,"H","A"),IF(E140&gt;=2,IF(D140&gt;=20,"H",IF(D140&lt;=5,"L","A")),IF(D140&lt;=19,"L","A"))),IF(OR(B140="ALI",B140="AIE"),IF(E140&gt;=6,IF(D140&gt;=20,"H","A"),IF(E140&gt;=2,IF(D140&gt;=51,"H",IF(D140&lt;=19,"L","A")),IF(D140&lt;=50,"L","A"))),""))))</f>
        <v/>
      </c>
      <c r="J140" s="7">
        <f>CONCATENATE(B140,C140)</f>
        <v/>
      </c>
      <c r="K140" s="9">
        <f>IF(OR(H140="",H140=0),L140,H140)</f>
        <v/>
      </c>
      <c r="L140" s="9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 t="n"/>
      <c r="N140" s="115" t="n"/>
      <c r="O140" s="6" t="n"/>
    </row>
    <row r="141">
      <c r="A141" s="112" t="n"/>
      <c r="B141" s="4" t="n"/>
      <c r="C141" s="4" t="n"/>
      <c r="D141" s="7" t="n"/>
      <c r="E141" s="7" t="n"/>
      <c r="F141" s="8">
        <f>IF(ISBLANK(B141),"",IF(I141="L","Baixa",IF(I141="A","Média",IF(I141="","","Alta"))))</f>
        <v/>
      </c>
      <c r="G141" s="7">
        <f>CONCATENATE(B141,I141)</f>
        <v/>
      </c>
      <c r="H141" s="5">
        <f>IF(ISBLANK(B141),"",IF(B141="ALI",IF(I141="L",7,IF(I141="A",10,15)),IF(B141="AIE",IF(I141="L",5,IF(I141="A",7,10)),IF(B141="SE",IF(I141="L",4,IF(I141="A",5,7)),IF(OR(B141="EE",B141="CE"),IF(I141="L",3,IF(I141="A",4,6)),0)))))</f>
        <v/>
      </c>
      <c r="I141" s="110">
        <f>IF(OR(ISBLANK(D141),ISBLANK(E141)),IF(OR(B141="ALI",B141="AIE"),"L",IF(OR(B141="EE",B141="SE",B141="CE"),"A","")),IF(B141="EE",IF(E141&gt;=3,IF(D141&gt;=5,"H","A"),IF(E141&gt;=2,IF(D141&gt;=16,"H",IF(D141&lt;=4,"L","A")),IF(D141&lt;=15,"L","A"))),IF(OR(B141="SE",B141="CE"),IF(E141&gt;=4,IF(D141&gt;=6,"H","A"),IF(E141&gt;=2,IF(D141&gt;=20,"H",IF(D141&lt;=5,"L","A")),IF(D141&lt;=19,"L","A"))),IF(OR(B141="ALI",B141="AIE"),IF(E141&gt;=6,IF(D141&gt;=20,"H","A"),IF(E141&gt;=2,IF(D141&gt;=51,"H",IF(D141&lt;=19,"L","A")),IF(D141&lt;=50,"L","A"))),""))))</f>
        <v/>
      </c>
      <c r="J141" s="7">
        <f>CONCATENATE(B141,C141)</f>
        <v/>
      </c>
      <c r="K141" s="9">
        <f>IF(OR(H141="",H141=0),L141,H141)</f>
        <v/>
      </c>
      <c r="L141" s="9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 t="n"/>
      <c r="N141" s="115" t="n"/>
      <c r="O141" s="6" t="n"/>
    </row>
    <row r="142">
      <c r="A142" s="112" t="n"/>
      <c r="B142" s="4" t="n"/>
      <c r="C142" s="4" t="n"/>
      <c r="D142" s="7" t="n"/>
      <c r="E142" s="7" t="n"/>
      <c r="F142" s="8">
        <f>IF(ISBLANK(B142),"",IF(I142="L","Baixa",IF(I142="A","Média",IF(I142="","","Alta"))))</f>
        <v/>
      </c>
      <c r="G142" s="7">
        <f>CONCATENATE(B142,I142)</f>
        <v/>
      </c>
      <c r="H142" s="5">
        <f>IF(ISBLANK(B142),"",IF(B142="ALI",IF(I142="L",7,IF(I142="A",10,15)),IF(B142="AIE",IF(I142="L",5,IF(I142="A",7,10)),IF(B142="SE",IF(I142="L",4,IF(I142="A",5,7)),IF(OR(B142="EE",B142="CE"),IF(I142="L",3,IF(I142="A",4,6)),0)))))</f>
        <v/>
      </c>
      <c r="I142" s="110">
        <f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/>
      </c>
      <c r="J142" s="7">
        <f>CONCATENATE(B142,C142)</f>
        <v/>
      </c>
      <c r="K142" s="9">
        <f>IF(OR(H142="",H142=0),L142,H142)</f>
        <v/>
      </c>
      <c r="L142" s="9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 t="n"/>
      <c r="N142" s="115" t="n"/>
      <c r="O142" s="6" t="n"/>
    </row>
    <row r="143">
      <c r="A143" s="112" t="n"/>
      <c r="B143" s="4" t="n"/>
      <c r="C143" s="4" t="n"/>
      <c r="D143" s="7" t="n"/>
      <c r="E143" s="7" t="n"/>
      <c r="F143" s="8">
        <f>IF(ISBLANK(B143),"",IF(I143="L","Baixa",IF(I143="A","Média",IF(I143="","","Alta"))))</f>
        <v/>
      </c>
      <c r="G143" s="7">
        <f>CONCATENATE(B143,I143)</f>
        <v/>
      </c>
      <c r="H143" s="5">
        <f>IF(ISBLANK(B143),"",IF(B143="ALI",IF(I143="L",7,IF(I143="A",10,15)),IF(B143="AIE",IF(I143="L",5,IF(I143="A",7,10)),IF(B143="SE",IF(I143="L",4,IF(I143="A",5,7)),IF(OR(B143="EE",B143="CE"),IF(I143="L",3,IF(I143="A",4,6)),0)))))</f>
        <v/>
      </c>
      <c r="I143" s="110">
        <f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/>
      </c>
      <c r="J143" s="7">
        <f>CONCATENATE(B143,C143)</f>
        <v/>
      </c>
      <c r="K143" s="9">
        <f>IF(OR(H143="",H143=0),L143,H143)</f>
        <v/>
      </c>
      <c r="L143" s="9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 t="n"/>
      <c r="N143" s="115" t="n"/>
      <c r="O143" s="6" t="n"/>
    </row>
    <row r="144">
      <c r="A144" s="112" t="n"/>
      <c r="B144" s="4" t="n"/>
      <c r="C144" s="4" t="n"/>
      <c r="D144" s="7" t="n"/>
      <c r="E144" s="7" t="n"/>
      <c r="F144" s="8">
        <f>IF(ISBLANK(B144),"",IF(I144="L","Baixa",IF(I144="A","Média",IF(I144="","","Alta"))))</f>
        <v/>
      </c>
      <c r="G144" s="7">
        <f>CONCATENATE(B144,I144)</f>
        <v/>
      </c>
      <c r="H144" s="5">
        <f>IF(ISBLANK(B144),"",IF(B144="ALI",IF(I144="L",7,IF(I144="A",10,15)),IF(B144="AIE",IF(I144="L",5,IF(I144="A",7,10)),IF(B144="SE",IF(I144="L",4,IF(I144="A",5,7)),IF(OR(B144="EE",B144="CE"),IF(I144="L",3,IF(I144="A",4,6)),0)))))</f>
        <v/>
      </c>
      <c r="I144" s="110">
        <f>IF(OR(ISBLANK(D144),ISBLANK(E144)),IF(OR(B144="ALI",B144="AIE"),"L",IF(OR(B144="EE",B144="SE",B144="CE"),"A","")),IF(B144="EE",IF(E144&gt;=3,IF(D144&gt;=5,"H","A"),IF(E144&gt;=2,IF(D144&gt;=16,"H",IF(D144&lt;=4,"L","A")),IF(D144&lt;=15,"L","A"))),IF(OR(B144="SE",B144="CE"),IF(E144&gt;=4,IF(D144&gt;=6,"H","A"),IF(E144&gt;=2,IF(D144&gt;=20,"H",IF(D144&lt;=5,"L","A")),IF(D144&lt;=19,"L","A"))),IF(OR(B144="ALI",B144="AIE"),IF(E144&gt;=6,IF(D144&gt;=20,"H","A"),IF(E144&gt;=2,IF(D144&gt;=51,"H",IF(D144&lt;=19,"L","A")),IF(D144&lt;=50,"L","A"))),""))))</f>
        <v/>
      </c>
      <c r="J144" s="7">
        <f>CONCATENATE(B144,C144)</f>
        <v/>
      </c>
      <c r="K144" s="9">
        <f>IF(OR(H144="",H144=0),L144,H144)</f>
        <v/>
      </c>
      <c r="L144" s="9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 t="n"/>
      <c r="N144" s="115" t="n"/>
      <c r="O144" s="6" t="n"/>
    </row>
    <row r="145">
      <c r="A145" s="112" t="n"/>
      <c r="B145" s="4" t="n"/>
      <c r="C145" s="4" t="n"/>
      <c r="D145" s="7" t="n"/>
      <c r="E145" s="7" t="n"/>
      <c r="F145" s="8">
        <f>IF(ISBLANK(B145),"",IF(I145="L","Baixa",IF(I145="A","Média",IF(I145="","","Alta"))))</f>
        <v/>
      </c>
      <c r="G145" s="7">
        <f>CONCATENATE(B145,I145)</f>
        <v/>
      </c>
      <c r="H145" s="5">
        <f>IF(ISBLANK(B145),"",IF(B145="ALI",IF(I145="L",7,IF(I145="A",10,15)),IF(B145="AIE",IF(I145="L",5,IF(I145="A",7,10)),IF(B145="SE",IF(I145="L",4,IF(I145="A",5,7)),IF(OR(B145="EE",B145="CE"),IF(I145="L",3,IF(I145="A",4,6)),0)))))</f>
        <v/>
      </c>
      <c r="I145" s="110">
        <f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/>
      </c>
      <c r="J145" s="7">
        <f>CONCATENATE(B145,C145)</f>
        <v/>
      </c>
      <c r="K145" s="9">
        <f>IF(OR(H145="",H145=0),L145,H145)</f>
        <v/>
      </c>
      <c r="L145" s="9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 t="n"/>
      <c r="N145" s="115" t="n"/>
      <c r="O145" s="6" t="n"/>
    </row>
    <row r="146">
      <c r="A146" s="112" t="n"/>
      <c r="B146" s="4" t="n"/>
      <c r="C146" s="4" t="n"/>
      <c r="D146" s="7" t="n"/>
      <c r="E146" s="7" t="n"/>
      <c r="F146" s="8">
        <f>IF(ISBLANK(B146),"",IF(I146="L","Baixa",IF(I146="A","Média",IF(I146="","","Alta"))))</f>
        <v/>
      </c>
      <c r="G146" s="7">
        <f>CONCATENATE(B146,I146)</f>
        <v/>
      </c>
      <c r="H146" s="5">
        <f>IF(ISBLANK(B146),"",IF(B146="ALI",IF(I146="L",7,IF(I146="A",10,15)),IF(B146="AIE",IF(I146="L",5,IF(I146="A",7,10)),IF(B146="SE",IF(I146="L",4,IF(I146="A",5,7)),IF(OR(B146="EE",B146="CE"),IF(I146="L",3,IF(I146="A",4,6)),0)))))</f>
        <v/>
      </c>
      <c r="I146" s="110">
        <f>IF(OR(ISBLANK(D146),ISBLANK(E146)),IF(OR(B146="ALI",B146="AIE"),"L",IF(OR(B146="EE",B146="SE",B146="CE"),"A","")),IF(B146="EE",IF(E146&gt;=3,IF(D146&gt;=5,"H","A"),IF(E146&gt;=2,IF(D146&gt;=16,"H",IF(D146&lt;=4,"L","A")),IF(D146&lt;=15,"L","A"))),IF(OR(B146="SE",B146="CE"),IF(E146&gt;=4,IF(D146&gt;=6,"H","A"),IF(E146&gt;=2,IF(D146&gt;=20,"H",IF(D146&lt;=5,"L","A")),IF(D146&lt;=19,"L","A"))),IF(OR(B146="ALI",B146="AIE"),IF(E146&gt;=6,IF(D146&gt;=20,"H","A"),IF(E146&gt;=2,IF(D146&gt;=51,"H",IF(D146&lt;=19,"L","A")),IF(D146&lt;=50,"L","A"))),""))))</f>
        <v/>
      </c>
      <c r="J146" s="7">
        <f>CONCATENATE(B146,C146)</f>
        <v/>
      </c>
      <c r="K146" s="9">
        <f>IF(OR(H146="",H146=0),L146,H146)</f>
        <v/>
      </c>
      <c r="L146" s="9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 t="n"/>
      <c r="N146" s="115" t="n"/>
      <c r="O146" s="6" t="n"/>
    </row>
    <row r="147">
      <c r="A147" s="112" t="n"/>
      <c r="B147" s="4" t="n"/>
      <c r="C147" s="4" t="n"/>
      <c r="D147" s="7" t="n"/>
      <c r="E147" s="7" t="n"/>
      <c r="F147" s="8">
        <f>IF(ISBLANK(B147),"",IF(I147="L","Baixa",IF(I147="A","Média",IF(I147="","","Alta"))))</f>
        <v/>
      </c>
      <c r="G147" s="7">
        <f>CONCATENATE(B147,I147)</f>
        <v/>
      </c>
      <c r="H147" s="5">
        <f>IF(ISBLANK(B147),"",IF(B147="ALI",IF(I147="L",7,IF(I147="A",10,15)),IF(B147="AIE",IF(I147="L",5,IF(I147="A",7,10)),IF(B147="SE",IF(I147="L",4,IF(I147="A",5,7)),IF(OR(B147="EE",B147="CE"),IF(I147="L",3,IF(I147="A",4,6)),0)))))</f>
        <v/>
      </c>
      <c r="I147" s="110">
        <f>IF(OR(ISBLANK(D147),ISBLANK(E147)),IF(OR(B147="ALI",B147="AIE"),"L",IF(OR(B147="EE",B147="SE",B147="CE"),"A","")),IF(B147="EE",IF(E147&gt;=3,IF(D147&gt;=5,"H","A"),IF(E147&gt;=2,IF(D147&gt;=16,"H",IF(D147&lt;=4,"L","A")),IF(D147&lt;=15,"L","A"))),IF(OR(B147="SE",B147="CE"),IF(E147&gt;=4,IF(D147&gt;=6,"H","A"),IF(E147&gt;=2,IF(D147&gt;=20,"H",IF(D147&lt;=5,"L","A")),IF(D147&lt;=19,"L","A"))),IF(OR(B147="ALI",B147="AIE"),IF(E147&gt;=6,IF(D147&gt;=20,"H","A"),IF(E147&gt;=2,IF(D147&gt;=51,"H",IF(D147&lt;=19,"L","A")),IF(D147&lt;=50,"L","A"))),""))))</f>
        <v/>
      </c>
      <c r="J147" s="7">
        <f>CONCATENATE(B147,C147)</f>
        <v/>
      </c>
      <c r="K147" s="9">
        <f>IF(OR(H147="",H147=0),L147,H147)</f>
        <v/>
      </c>
      <c r="L147" s="9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 t="n"/>
      <c r="N147" s="115" t="n"/>
      <c r="O147" s="6" t="n"/>
    </row>
    <row r="148">
      <c r="A148" s="112" t="n"/>
      <c r="B148" s="4" t="n"/>
      <c r="C148" s="4" t="n"/>
      <c r="D148" s="7" t="n"/>
      <c r="E148" s="7" t="n"/>
      <c r="F148" s="8">
        <f>IF(ISBLANK(B148),"",IF(I148="L","Baixa",IF(I148="A","Média",IF(I148="","","Alta"))))</f>
        <v/>
      </c>
      <c r="G148" s="7">
        <f>CONCATENATE(B148,I148)</f>
        <v/>
      </c>
      <c r="H148" s="5">
        <f>IF(ISBLANK(B148),"",IF(B148="ALI",IF(I148="L",7,IF(I148="A",10,15)),IF(B148="AIE",IF(I148="L",5,IF(I148="A",7,10)),IF(B148="SE",IF(I148="L",4,IF(I148="A",5,7)),IF(OR(B148="EE",B148="CE"),IF(I148="L",3,IF(I148="A",4,6)),0)))))</f>
        <v/>
      </c>
      <c r="I148" s="110">
        <f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/>
      </c>
      <c r="J148" s="7">
        <f>CONCATENATE(B148,C148)</f>
        <v/>
      </c>
      <c r="K148" s="9">
        <f>IF(OR(H148="",H148=0),L148,H148)</f>
        <v/>
      </c>
      <c r="L148" s="9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 t="n"/>
      <c r="N148" s="115" t="n"/>
      <c r="O148" s="6" t="n"/>
    </row>
    <row r="149">
      <c r="A149" s="112" t="n"/>
      <c r="B149" s="4" t="n"/>
      <c r="C149" s="4" t="n"/>
      <c r="D149" s="7" t="n"/>
      <c r="E149" s="7" t="n"/>
      <c r="F149" s="8">
        <f>IF(ISBLANK(B149),"",IF(I149="L","Baixa",IF(I149="A","Média",IF(I149="","","Alta"))))</f>
        <v/>
      </c>
      <c r="G149" s="7">
        <f>CONCATENATE(B149,I149)</f>
        <v/>
      </c>
      <c r="H149" s="5">
        <f>IF(ISBLANK(B149),"",IF(B149="ALI",IF(I149="L",7,IF(I149="A",10,15)),IF(B149="AIE",IF(I149="L",5,IF(I149="A",7,10)),IF(B149="SE",IF(I149="L",4,IF(I149="A",5,7)),IF(OR(B149="EE",B149="CE"),IF(I149="L",3,IF(I149="A",4,6)),0)))))</f>
        <v/>
      </c>
      <c r="I149" s="110">
        <f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/>
      </c>
      <c r="J149" s="7">
        <f>CONCATENATE(B149,C149)</f>
        <v/>
      </c>
      <c r="K149" s="9">
        <f>IF(OR(H149="",H149=0),L149,H149)</f>
        <v/>
      </c>
      <c r="L149" s="9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 t="n"/>
      <c r="N149" s="115" t="n"/>
      <c r="O149" s="6" t="n"/>
    </row>
    <row r="150">
      <c r="A150" s="112" t="n"/>
      <c r="B150" s="4" t="n"/>
      <c r="C150" s="4" t="n"/>
      <c r="D150" s="7" t="n"/>
      <c r="E150" s="7" t="n"/>
      <c r="F150" s="8">
        <f>IF(ISBLANK(B150),"",IF(I150="L","Baixa",IF(I150="A","Média",IF(I150="","","Alta"))))</f>
        <v/>
      </c>
      <c r="G150" s="7">
        <f>CONCATENATE(B150,I150)</f>
        <v/>
      </c>
      <c r="H150" s="5">
        <f>IF(ISBLANK(B150),"",IF(B150="ALI",IF(I150="L",7,IF(I150="A",10,15)),IF(B150="AIE",IF(I150="L",5,IF(I150="A",7,10)),IF(B150="SE",IF(I150="L",4,IF(I150="A",5,7)),IF(OR(B150="EE",B150="CE"),IF(I150="L",3,IF(I150="A",4,6)),0)))))</f>
        <v/>
      </c>
      <c r="I150" s="110">
        <f>IF(OR(ISBLANK(D150),ISBLANK(E150)),IF(OR(B150="ALI",B150="AIE"),"L",IF(OR(B150="EE",B150="SE",B150="CE"),"A","")),IF(B150="EE",IF(E150&gt;=3,IF(D150&gt;=5,"H","A"),IF(E150&gt;=2,IF(D150&gt;=16,"H",IF(D150&lt;=4,"L","A")),IF(D150&lt;=15,"L","A"))),IF(OR(B150="SE",B150="CE"),IF(E150&gt;=4,IF(D150&gt;=6,"H","A"),IF(E150&gt;=2,IF(D150&gt;=20,"H",IF(D150&lt;=5,"L","A")),IF(D150&lt;=19,"L","A"))),IF(OR(B150="ALI",B150="AIE"),IF(E150&gt;=6,IF(D150&gt;=20,"H","A"),IF(E150&gt;=2,IF(D150&gt;=51,"H",IF(D150&lt;=19,"L","A")),IF(D150&lt;=50,"L","A"))),""))))</f>
        <v/>
      </c>
      <c r="J150" s="7">
        <f>CONCATENATE(B150,C150)</f>
        <v/>
      </c>
      <c r="K150" s="9">
        <f>IF(OR(H150="",H150=0),L150,H150)</f>
        <v/>
      </c>
      <c r="L150" s="9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 t="n"/>
      <c r="N150" s="115" t="n"/>
      <c r="O150" s="6" t="n"/>
    </row>
    <row r="151">
      <c r="A151" s="112" t="n"/>
      <c r="B151" s="4" t="n"/>
      <c r="C151" s="4" t="n"/>
      <c r="D151" s="7" t="n"/>
      <c r="E151" s="7" t="n"/>
      <c r="F151" s="8">
        <f>IF(ISBLANK(B151),"",IF(I151="L","Baixa",IF(I151="A","Média",IF(I151="","","Alta"))))</f>
        <v/>
      </c>
      <c r="G151" s="7">
        <f>CONCATENATE(B151,I151)</f>
        <v/>
      </c>
      <c r="H151" s="5">
        <f>IF(ISBLANK(B151),"",IF(B151="ALI",IF(I151="L",7,IF(I151="A",10,15)),IF(B151="AIE",IF(I151="L",5,IF(I151="A",7,10)),IF(B151="SE",IF(I151="L",4,IF(I151="A",5,7)),IF(OR(B151="EE",B151="CE"),IF(I151="L",3,IF(I151="A",4,6)),0)))))</f>
        <v/>
      </c>
      <c r="I151" s="110">
        <f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/>
      </c>
      <c r="J151" s="7">
        <f>CONCATENATE(B151,C151)</f>
        <v/>
      </c>
      <c r="K151" s="9">
        <f>IF(OR(H151="",H151=0),L151,H151)</f>
        <v/>
      </c>
      <c r="L151" s="9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 t="n"/>
      <c r="N151" s="115" t="n"/>
      <c r="O151" s="6" t="n"/>
    </row>
    <row r="152">
      <c r="A152" s="112" t="n"/>
      <c r="B152" s="4" t="n"/>
      <c r="C152" s="4" t="n"/>
      <c r="D152" s="7" t="n"/>
      <c r="E152" s="7" t="n"/>
      <c r="F152" s="8">
        <f>IF(ISBLANK(B152),"",IF(I152="L","Baixa",IF(I152="A","Média",IF(I152="","","Alta"))))</f>
        <v/>
      </c>
      <c r="G152" s="7">
        <f>CONCATENATE(B152,I152)</f>
        <v/>
      </c>
      <c r="H152" s="5">
        <f>IF(ISBLANK(B152),"",IF(B152="ALI",IF(I152="L",7,IF(I152="A",10,15)),IF(B152="AIE",IF(I152="L",5,IF(I152="A",7,10)),IF(B152="SE",IF(I152="L",4,IF(I152="A",5,7)),IF(OR(B152="EE",B152="CE"),IF(I152="L",3,IF(I152="A",4,6)),0)))))</f>
        <v/>
      </c>
      <c r="I152" s="110">
        <f>IF(OR(ISBLANK(D152),ISBLANK(E152)),IF(OR(B152="ALI",B152="AIE"),"L",IF(OR(B152="EE",B152="SE",B152="CE"),"A","")),IF(B152="EE",IF(E152&gt;=3,IF(D152&gt;=5,"H","A"),IF(E152&gt;=2,IF(D152&gt;=16,"H",IF(D152&lt;=4,"L","A")),IF(D152&lt;=15,"L","A"))),IF(OR(B152="SE",B152="CE"),IF(E152&gt;=4,IF(D152&gt;=6,"H","A"),IF(E152&gt;=2,IF(D152&gt;=20,"H",IF(D152&lt;=5,"L","A")),IF(D152&lt;=19,"L","A"))),IF(OR(B152="ALI",B152="AIE"),IF(E152&gt;=6,IF(D152&gt;=20,"H","A"),IF(E152&gt;=2,IF(D152&gt;=51,"H",IF(D152&lt;=19,"L","A")),IF(D152&lt;=50,"L","A"))),""))))</f>
        <v/>
      </c>
      <c r="J152" s="7">
        <f>CONCATENATE(B152,C152)</f>
        <v/>
      </c>
      <c r="K152" s="9">
        <f>IF(OR(H152="",H152=0),L152,H152)</f>
        <v/>
      </c>
      <c r="L152" s="9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 t="n"/>
      <c r="N152" s="115" t="n"/>
      <c r="O152" s="6" t="n"/>
    </row>
    <row r="153">
      <c r="A153" s="112" t="n"/>
      <c r="B153" s="4" t="n"/>
      <c r="C153" s="4" t="n"/>
      <c r="D153" s="7" t="n"/>
      <c r="E153" s="7" t="n"/>
      <c r="F153" s="8">
        <f>IF(ISBLANK(B153),"",IF(I153="L","Baixa",IF(I153="A","Média",IF(I153="","","Alta"))))</f>
        <v/>
      </c>
      <c r="G153" s="7">
        <f>CONCATENATE(B153,I153)</f>
        <v/>
      </c>
      <c r="H153" s="5">
        <f>IF(ISBLANK(B153),"",IF(B153="ALI",IF(I153="L",7,IF(I153="A",10,15)),IF(B153="AIE",IF(I153="L",5,IF(I153="A",7,10)),IF(B153="SE",IF(I153="L",4,IF(I153="A",5,7)),IF(OR(B153="EE",B153="CE"),IF(I153="L",3,IF(I153="A",4,6)),0)))))</f>
        <v/>
      </c>
      <c r="I153" s="110">
        <f>IF(OR(ISBLANK(D153),ISBLANK(E153)),IF(OR(B153="ALI",B153="AIE"),"L",IF(OR(B153="EE",B153="SE",B153="CE"),"A","")),IF(B153="EE",IF(E153&gt;=3,IF(D153&gt;=5,"H","A"),IF(E153&gt;=2,IF(D153&gt;=16,"H",IF(D153&lt;=4,"L","A")),IF(D153&lt;=15,"L","A"))),IF(OR(B153="SE",B153="CE"),IF(E153&gt;=4,IF(D153&gt;=6,"H","A"),IF(E153&gt;=2,IF(D153&gt;=20,"H",IF(D153&lt;=5,"L","A")),IF(D153&lt;=19,"L","A"))),IF(OR(B153="ALI",B153="AIE"),IF(E153&gt;=6,IF(D153&gt;=20,"H","A"),IF(E153&gt;=2,IF(D153&gt;=51,"H",IF(D153&lt;=19,"L","A")),IF(D153&lt;=50,"L","A"))),""))))</f>
        <v/>
      </c>
      <c r="J153" s="7">
        <f>CONCATENATE(B153,C153)</f>
        <v/>
      </c>
      <c r="K153" s="9">
        <f>IF(OR(H153="",H153=0),L153,H153)</f>
        <v/>
      </c>
      <c r="L153" s="9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 t="n"/>
      <c r="N153" s="115" t="n"/>
      <c r="O153" s="6" t="n"/>
    </row>
    <row r="154">
      <c r="A154" s="112" t="n"/>
      <c r="B154" s="4" t="n"/>
      <c r="C154" s="4" t="n"/>
      <c r="D154" s="7" t="n"/>
      <c r="E154" s="7" t="n"/>
      <c r="F154" s="8">
        <f>IF(ISBLANK(B154),"",IF(I154="L","Baixa",IF(I154="A","Média",IF(I154="","","Alta"))))</f>
        <v/>
      </c>
      <c r="G154" s="7">
        <f>CONCATENATE(B154,I154)</f>
        <v/>
      </c>
      <c r="H154" s="5">
        <f>IF(ISBLANK(B154),"",IF(B154="ALI",IF(I154="L",7,IF(I154="A",10,15)),IF(B154="AIE",IF(I154="L",5,IF(I154="A",7,10)),IF(B154="SE",IF(I154="L",4,IF(I154="A",5,7)),IF(OR(B154="EE",B154="CE"),IF(I154="L",3,IF(I154="A",4,6)),0)))))</f>
        <v/>
      </c>
      <c r="I154" s="110">
        <f>IF(OR(ISBLANK(D154),ISBLANK(E154)),IF(OR(B154="ALI",B154="AIE"),"L",IF(OR(B154="EE",B154="SE",B154="CE"),"A","")),IF(B154="EE",IF(E154&gt;=3,IF(D154&gt;=5,"H","A"),IF(E154&gt;=2,IF(D154&gt;=16,"H",IF(D154&lt;=4,"L","A")),IF(D154&lt;=15,"L","A"))),IF(OR(B154="SE",B154="CE"),IF(E154&gt;=4,IF(D154&gt;=6,"H","A"),IF(E154&gt;=2,IF(D154&gt;=20,"H",IF(D154&lt;=5,"L","A")),IF(D154&lt;=19,"L","A"))),IF(OR(B154="ALI",B154="AIE"),IF(E154&gt;=6,IF(D154&gt;=20,"H","A"),IF(E154&gt;=2,IF(D154&gt;=51,"H",IF(D154&lt;=19,"L","A")),IF(D154&lt;=50,"L","A"))),""))))</f>
        <v/>
      </c>
      <c r="J154" s="7">
        <f>CONCATENATE(B154,C154)</f>
        <v/>
      </c>
      <c r="K154" s="9">
        <f>IF(OR(H154="",H154=0),L154,H154)</f>
        <v/>
      </c>
      <c r="L154" s="9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 t="n"/>
      <c r="N154" s="115" t="n"/>
      <c r="O154" s="6" t="n"/>
    </row>
    <row r="155">
      <c r="A155" s="112" t="n"/>
      <c r="B155" s="4" t="n"/>
      <c r="C155" s="4" t="n"/>
      <c r="D155" s="7" t="n"/>
      <c r="E155" s="7" t="n"/>
      <c r="F155" s="8">
        <f>IF(ISBLANK(B155),"",IF(I155="L","Baixa",IF(I155="A","Média",IF(I155="","","Alta"))))</f>
        <v/>
      </c>
      <c r="G155" s="7">
        <f>CONCATENATE(B155,I155)</f>
        <v/>
      </c>
      <c r="H155" s="5">
        <f>IF(ISBLANK(B155),"",IF(B155="ALI",IF(I155="L",7,IF(I155="A",10,15)),IF(B155="AIE",IF(I155="L",5,IF(I155="A",7,10)),IF(B155="SE",IF(I155="L",4,IF(I155="A",5,7)),IF(OR(B155="EE",B155="CE"),IF(I155="L",3,IF(I155="A",4,6)),0)))))</f>
        <v/>
      </c>
      <c r="I155" s="110">
        <f>IF(OR(ISBLANK(D155),ISBLANK(E155)),IF(OR(B155="ALI",B155="AIE"),"L",IF(OR(B155="EE",B155="SE",B155="CE"),"A","")),IF(B155="EE",IF(E155&gt;=3,IF(D155&gt;=5,"H","A"),IF(E155&gt;=2,IF(D155&gt;=16,"H",IF(D155&lt;=4,"L","A")),IF(D155&lt;=15,"L","A"))),IF(OR(B155="SE",B155="CE"),IF(E155&gt;=4,IF(D155&gt;=6,"H","A"),IF(E155&gt;=2,IF(D155&gt;=20,"H",IF(D155&lt;=5,"L","A")),IF(D155&lt;=19,"L","A"))),IF(OR(B155="ALI",B155="AIE"),IF(E155&gt;=6,IF(D155&gt;=20,"H","A"),IF(E155&gt;=2,IF(D155&gt;=51,"H",IF(D155&lt;=19,"L","A")),IF(D155&lt;=50,"L","A"))),""))))</f>
        <v/>
      </c>
      <c r="J155" s="7">
        <f>CONCATENATE(B155,C155)</f>
        <v/>
      </c>
      <c r="K155" s="9">
        <f>IF(OR(H155="",H155=0),L155,H155)</f>
        <v/>
      </c>
      <c r="L155" s="9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 t="n"/>
      <c r="N155" s="115" t="n"/>
      <c r="O155" s="6" t="n"/>
    </row>
    <row r="156">
      <c r="A156" s="112" t="n"/>
      <c r="B156" s="4" t="n"/>
      <c r="C156" s="4" t="n"/>
      <c r="D156" s="7" t="n"/>
      <c r="E156" s="7" t="n"/>
      <c r="F156" s="8">
        <f>IF(ISBLANK(B156),"",IF(I156="L","Baixa",IF(I156="A","Média",IF(I156="","","Alta"))))</f>
        <v/>
      </c>
      <c r="G156" s="7">
        <f>CONCATENATE(B156,I156)</f>
        <v/>
      </c>
      <c r="H156" s="5">
        <f>IF(ISBLANK(B156),"",IF(B156="ALI",IF(I156="L",7,IF(I156="A",10,15)),IF(B156="AIE",IF(I156="L",5,IF(I156="A",7,10)),IF(B156="SE",IF(I156="L",4,IF(I156="A",5,7)),IF(OR(B156="EE",B156="CE"),IF(I156="L",3,IF(I156="A",4,6)),0)))))</f>
        <v/>
      </c>
      <c r="I156" s="110">
        <f>IF(OR(ISBLANK(D156),ISBLANK(E156)),IF(OR(B156="ALI",B156="AIE"),"L",IF(OR(B156="EE",B156="SE",B156="CE"),"A","")),IF(B156="EE",IF(E156&gt;=3,IF(D156&gt;=5,"H","A"),IF(E156&gt;=2,IF(D156&gt;=16,"H",IF(D156&lt;=4,"L","A")),IF(D156&lt;=15,"L","A"))),IF(OR(B156="SE",B156="CE"),IF(E156&gt;=4,IF(D156&gt;=6,"H","A"),IF(E156&gt;=2,IF(D156&gt;=20,"H",IF(D156&lt;=5,"L","A")),IF(D156&lt;=19,"L","A"))),IF(OR(B156="ALI",B156="AIE"),IF(E156&gt;=6,IF(D156&gt;=20,"H","A"),IF(E156&gt;=2,IF(D156&gt;=51,"H",IF(D156&lt;=19,"L","A")),IF(D156&lt;=50,"L","A"))),""))))</f>
        <v/>
      </c>
      <c r="J156" s="7">
        <f>CONCATENATE(B156,C156)</f>
        <v/>
      </c>
      <c r="K156" s="9">
        <f>IF(OR(H156="",H156=0),L156,H156)</f>
        <v/>
      </c>
      <c r="L156" s="9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 t="n"/>
      <c r="N156" s="115" t="n"/>
      <c r="O156" s="6" t="n"/>
    </row>
    <row r="157">
      <c r="A157" s="112" t="n"/>
      <c r="B157" s="4" t="n"/>
      <c r="C157" s="4" t="n"/>
      <c r="D157" s="7" t="n"/>
      <c r="E157" s="7" t="n"/>
      <c r="F157" s="8">
        <f>IF(ISBLANK(B157),"",IF(I157="L","Baixa",IF(I157="A","Média",IF(I157="","","Alta"))))</f>
        <v/>
      </c>
      <c r="G157" s="7">
        <f>CONCATENATE(B157,I157)</f>
        <v/>
      </c>
      <c r="H157" s="5">
        <f>IF(ISBLANK(B157),"",IF(B157="ALI",IF(I157="L",7,IF(I157="A",10,15)),IF(B157="AIE",IF(I157="L",5,IF(I157="A",7,10)),IF(B157="SE",IF(I157="L",4,IF(I157="A",5,7)),IF(OR(B157="EE",B157="CE"),IF(I157="L",3,IF(I157="A",4,6)),0)))))</f>
        <v/>
      </c>
      <c r="I157" s="110">
        <f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/>
      </c>
      <c r="J157" s="7">
        <f>CONCATENATE(B157,C157)</f>
        <v/>
      </c>
      <c r="K157" s="9">
        <f>IF(OR(H157="",H157=0),L157,H157)</f>
        <v/>
      </c>
      <c r="L157" s="9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 t="n"/>
      <c r="N157" s="115" t="n"/>
      <c r="O157" s="6" t="n"/>
    </row>
    <row r="158">
      <c r="A158" s="112" t="n"/>
      <c r="B158" s="4" t="n"/>
      <c r="C158" s="4" t="n"/>
      <c r="D158" s="7" t="n"/>
      <c r="E158" s="7" t="n"/>
      <c r="F158" s="8">
        <f>IF(ISBLANK(B158),"",IF(I158="L","Baixa",IF(I158="A","Média",IF(I158="","","Alta"))))</f>
        <v/>
      </c>
      <c r="G158" s="7">
        <f>CONCATENATE(B158,I158)</f>
        <v/>
      </c>
      <c r="H158" s="5">
        <f>IF(ISBLANK(B158),"",IF(B158="ALI",IF(I158="L",7,IF(I158="A",10,15)),IF(B158="AIE",IF(I158="L",5,IF(I158="A",7,10)),IF(B158="SE",IF(I158="L",4,IF(I158="A",5,7)),IF(OR(B158="EE",B158="CE"),IF(I158="L",3,IF(I158="A",4,6)),0)))))</f>
        <v/>
      </c>
      <c r="I158" s="110">
        <f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/>
      </c>
      <c r="J158" s="7">
        <f>CONCATENATE(B158,C158)</f>
        <v/>
      </c>
      <c r="K158" s="9">
        <f>IF(OR(H158="",H158=0),L158,H158)</f>
        <v/>
      </c>
      <c r="L158" s="9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 t="n"/>
      <c r="N158" s="115" t="n"/>
      <c r="O158" s="6" t="n"/>
    </row>
    <row r="159">
      <c r="A159" s="112" t="n"/>
      <c r="B159" s="4" t="n"/>
      <c r="C159" s="4" t="n"/>
      <c r="D159" s="7" t="n"/>
      <c r="E159" s="7" t="n"/>
      <c r="F159" s="8">
        <f>IF(ISBLANK(B159),"",IF(I159="L","Baixa",IF(I159="A","Média",IF(I159="","","Alta"))))</f>
        <v/>
      </c>
      <c r="G159" s="7">
        <f>CONCATENATE(B159,I159)</f>
        <v/>
      </c>
      <c r="H159" s="5">
        <f>IF(ISBLANK(B159),"",IF(B159="ALI",IF(I159="L",7,IF(I159="A",10,15)),IF(B159="AIE",IF(I159="L",5,IF(I159="A",7,10)),IF(B159="SE",IF(I159="L",4,IF(I159="A",5,7)),IF(OR(B159="EE",B159="CE"),IF(I159="L",3,IF(I159="A",4,6)),0)))))</f>
        <v/>
      </c>
      <c r="I159" s="110">
        <f>IF(OR(ISBLANK(D159),ISBLANK(E159)),IF(OR(B159="ALI",B159="AIE"),"L",IF(OR(B159="EE",B159="SE",B159="CE"),"A","")),IF(B159="EE",IF(E159&gt;=3,IF(D159&gt;=5,"H","A"),IF(E159&gt;=2,IF(D159&gt;=16,"H",IF(D159&lt;=4,"L","A")),IF(D159&lt;=15,"L","A"))),IF(OR(B159="SE",B159="CE"),IF(E159&gt;=4,IF(D159&gt;=6,"H","A"),IF(E159&gt;=2,IF(D159&gt;=20,"H",IF(D159&lt;=5,"L","A")),IF(D159&lt;=19,"L","A"))),IF(OR(B159="ALI",B159="AIE"),IF(E159&gt;=6,IF(D159&gt;=20,"H","A"),IF(E159&gt;=2,IF(D159&gt;=51,"H",IF(D159&lt;=19,"L","A")),IF(D159&lt;=50,"L","A"))),""))))</f>
        <v/>
      </c>
      <c r="J159" s="7">
        <f>CONCATENATE(B159,C159)</f>
        <v/>
      </c>
      <c r="K159" s="9">
        <f>IF(OR(H159="",H159=0),L159,H159)</f>
        <v/>
      </c>
      <c r="L159" s="9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 t="n"/>
      <c r="N159" s="115" t="n"/>
      <c r="O159" s="6" t="n"/>
    </row>
    <row r="160">
      <c r="A160" s="112" t="n"/>
      <c r="B160" s="4" t="n"/>
      <c r="C160" s="4" t="n"/>
      <c r="D160" s="7" t="n"/>
      <c r="E160" s="7" t="n"/>
      <c r="F160" s="8">
        <f>IF(ISBLANK(B160),"",IF(I160="L","Baixa",IF(I160="A","Média",IF(I160="","","Alta"))))</f>
        <v/>
      </c>
      <c r="G160" s="7">
        <f>CONCATENATE(B160,I160)</f>
        <v/>
      </c>
      <c r="H160" s="5">
        <f>IF(ISBLANK(B160),"",IF(B160="ALI",IF(I160="L",7,IF(I160="A",10,15)),IF(B160="AIE",IF(I160="L",5,IF(I160="A",7,10)),IF(B160="SE",IF(I160="L",4,IF(I160="A",5,7)),IF(OR(B160="EE",B160="CE"),IF(I160="L",3,IF(I160="A",4,6)),0)))))</f>
        <v/>
      </c>
      <c r="I160" s="110">
        <f>IF(OR(ISBLANK(D160),ISBLANK(E160)),IF(OR(B160="ALI",B160="AIE"),"L",IF(OR(B160="EE",B160="SE",B160="CE"),"A","")),IF(B160="EE",IF(E160&gt;=3,IF(D160&gt;=5,"H","A"),IF(E160&gt;=2,IF(D160&gt;=16,"H",IF(D160&lt;=4,"L","A")),IF(D160&lt;=15,"L","A"))),IF(OR(B160="SE",B160="CE"),IF(E160&gt;=4,IF(D160&gt;=6,"H","A"),IF(E160&gt;=2,IF(D160&gt;=20,"H",IF(D160&lt;=5,"L","A")),IF(D160&lt;=19,"L","A"))),IF(OR(B160="ALI",B160="AIE"),IF(E160&gt;=6,IF(D160&gt;=20,"H","A"),IF(E160&gt;=2,IF(D160&gt;=51,"H",IF(D160&lt;=19,"L","A")),IF(D160&lt;=50,"L","A"))),""))))</f>
        <v/>
      </c>
      <c r="J160" s="7">
        <f>CONCATENATE(B160,C160)</f>
        <v/>
      </c>
      <c r="K160" s="9">
        <f>IF(OR(H160="",H160=0),L160,H160)</f>
        <v/>
      </c>
      <c r="L160" s="9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 t="n"/>
      <c r="N160" s="115" t="n"/>
      <c r="O160" s="6" t="n"/>
    </row>
    <row r="161">
      <c r="A161" s="112" t="n"/>
      <c r="B161" s="4" t="n"/>
      <c r="C161" s="4" t="n"/>
      <c r="D161" s="7" t="n"/>
      <c r="E161" s="7" t="n"/>
      <c r="F161" s="8">
        <f>IF(ISBLANK(B161),"",IF(I161="L","Baixa",IF(I161="A","Média",IF(I161="","","Alta"))))</f>
        <v/>
      </c>
      <c r="G161" s="7">
        <f>CONCATENATE(B161,I161)</f>
        <v/>
      </c>
      <c r="H161" s="5">
        <f>IF(ISBLANK(B161),"",IF(B161="ALI",IF(I161="L",7,IF(I161="A",10,15)),IF(B161="AIE",IF(I161="L",5,IF(I161="A",7,10)),IF(B161="SE",IF(I161="L",4,IF(I161="A",5,7)),IF(OR(B161="EE",B161="CE"),IF(I161="L",3,IF(I161="A",4,6)),0)))))</f>
        <v/>
      </c>
      <c r="I161" s="110">
        <f>IF(OR(ISBLANK(D161),ISBLANK(E161)),IF(OR(B161="ALI",B161="AIE"),"L",IF(OR(B161="EE",B161="SE",B161="CE"),"A","")),IF(B161="EE",IF(E161&gt;=3,IF(D161&gt;=5,"H","A"),IF(E161&gt;=2,IF(D161&gt;=16,"H",IF(D161&lt;=4,"L","A")),IF(D161&lt;=15,"L","A"))),IF(OR(B161="SE",B161="CE"),IF(E161&gt;=4,IF(D161&gt;=6,"H","A"),IF(E161&gt;=2,IF(D161&gt;=20,"H",IF(D161&lt;=5,"L","A")),IF(D161&lt;=19,"L","A"))),IF(OR(B161="ALI",B161="AIE"),IF(E161&gt;=6,IF(D161&gt;=20,"H","A"),IF(E161&gt;=2,IF(D161&gt;=51,"H",IF(D161&lt;=19,"L","A")),IF(D161&lt;=50,"L","A"))),""))))</f>
        <v/>
      </c>
      <c r="J161" s="7">
        <f>CONCATENATE(B161,C161)</f>
        <v/>
      </c>
      <c r="K161" s="9">
        <f>IF(OR(H161="",H161=0),L161,H161)</f>
        <v/>
      </c>
      <c r="L161" s="9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 t="n"/>
      <c r="N161" s="115" t="n"/>
      <c r="O161" s="6" t="n"/>
    </row>
    <row r="162">
      <c r="A162" s="112" t="n"/>
      <c r="B162" s="4" t="n"/>
      <c r="C162" s="4" t="n"/>
      <c r="D162" s="7" t="n"/>
      <c r="E162" s="7" t="n"/>
      <c r="F162" s="8">
        <f>IF(ISBLANK(B162),"",IF(I162="L","Baixa",IF(I162="A","Média",IF(I162="","","Alta"))))</f>
        <v/>
      </c>
      <c r="G162" s="7">
        <f>CONCATENATE(B162,I162)</f>
        <v/>
      </c>
      <c r="H162" s="5">
        <f>IF(ISBLANK(B162),"",IF(B162="ALI",IF(I162="L",7,IF(I162="A",10,15)),IF(B162="AIE",IF(I162="L",5,IF(I162="A",7,10)),IF(B162="SE",IF(I162="L",4,IF(I162="A",5,7)),IF(OR(B162="EE",B162="CE"),IF(I162="L",3,IF(I162="A",4,6)),0)))))</f>
        <v/>
      </c>
      <c r="I162" s="110">
        <f>IF(OR(ISBLANK(D162),ISBLANK(E162)),IF(OR(B162="ALI",B162="AIE"),"L",IF(OR(B162="EE",B162="SE",B162="CE"),"A","")),IF(B162="EE",IF(E162&gt;=3,IF(D162&gt;=5,"H","A"),IF(E162&gt;=2,IF(D162&gt;=16,"H",IF(D162&lt;=4,"L","A")),IF(D162&lt;=15,"L","A"))),IF(OR(B162="SE",B162="CE"),IF(E162&gt;=4,IF(D162&gt;=6,"H","A"),IF(E162&gt;=2,IF(D162&gt;=20,"H",IF(D162&lt;=5,"L","A")),IF(D162&lt;=19,"L","A"))),IF(OR(B162="ALI",B162="AIE"),IF(E162&gt;=6,IF(D162&gt;=20,"H","A"),IF(E162&gt;=2,IF(D162&gt;=51,"H",IF(D162&lt;=19,"L","A")),IF(D162&lt;=50,"L","A"))),""))))</f>
        <v/>
      </c>
      <c r="J162" s="7">
        <f>CONCATENATE(B162,C162)</f>
        <v/>
      </c>
      <c r="K162" s="9">
        <f>IF(OR(H162="",H162=0),L162,H162)</f>
        <v/>
      </c>
      <c r="L162" s="9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 t="n"/>
      <c r="N162" s="115" t="n"/>
      <c r="O162" s="6" t="n"/>
    </row>
    <row r="163">
      <c r="A163" s="112" t="n"/>
      <c r="B163" s="4" t="n"/>
      <c r="C163" s="4" t="n"/>
      <c r="D163" s="7" t="n"/>
      <c r="E163" s="7" t="n"/>
      <c r="F163" s="8">
        <f>IF(ISBLANK(B163),"",IF(I163="L","Baixa",IF(I163="A","Média",IF(I163="","","Alta"))))</f>
        <v/>
      </c>
      <c r="G163" s="7">
        <f>CONCATENATE(B163,I163)</f>
        <v/>
      </c>
      <c r="H163" s="5">
        <f>IF(ISBLANK(B163),"",IF(B163="ALI",IF(I163="L",7,IF(I163="A",10,15)),IF(B163="AIE",IF(I163="L",5,IF(I163="A",7,10)),IF(B163="SE",IF(I163="L",4,IF(I163="A",5,7)),IF(OR(B163="EE",B163="CE"),IF(I163="L",3,IF(I163="A",4,6)),0)))))</f>
        <v/>
      </c>
      <c r="I163" s="110">
        <f>IF(OR(ISBLANK(D163),ISBLANK(E163)),IF(OR(B163="ALI",B163="AIE"),"L",IF(OR(B163="EE",B163="SE",B163="CE"),"A","")),IF(B163="EE",IF(E163&gt;=3,IF(D163&gt;=5,"H","A"),IF(E163&gt;=2,IF(D163&gt;=16,"H",IF(D163&lt;=4,"L","A")),IF(D163&lt;=15,"L","A"))),IF(OR(B163="SE",B163="CE"),IF(E163&gt;=4,IF(D163&gt;=6,"H","A"),IF(E163&gt;=2,IF(D163&gt;=20,"H",IF(D163&lt;=5,"L","A")),IF(D163&lt;=19,"L","A"))),IF(OR(B163="ALI",B163="AIE"),IF(E163&gt;=6,IF(D163&gt;=20,"H","A"),IF(E163&gt;=2,IF(D163&gt;=51,"H",IF(D163&lt;=19,"L","A")),IF(D163&lt;=50,"L","A"))),""))))</f>
        <v/>
      </c>
      <c r="J163" s="7">
        <f>CONCATENATE(B163,C163)</f>
        <v/>
      </c>
      <c r="K163" s="9">
        <f>IF(OR(H163="",H163=0),L163,H163)</f>
        <v/>
      </c>
      <c r="L163" s="9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 t="n"/>
      <c r="N163" s="115" t="n"/>
      <c r="O163" s="6" t="n"/>
    </row>
    <row r="164">
      <c r="A164" s="112" t="n"/>
      <c r="B164" s="4" t="n"/>
      <c r="C164" s="4" t="n"/>
      <c r="D164" s="7" t="n"/>
      <c r="E164" s="7" t="n"/>
      <c r="F164" s="8">
        <f>IF(ISBLANK(B164),"",IF(I164="L","Baixa",IF(I164="A","Média",IF(I164="","","Alta"))))</f>
        <v/>
      </c>
      <c r="G164" s="7">
        <f>CONCATENATE(B164,I164)</f>
        <v/>
      </c>
      <c r="H164" s="5">
        <f>IF(ISBLANK(B164),"",IF(B164="ALI",IF(I164="L",7,IF(I164="A",10,15)),IF(B164="AIE",IF(I164="L",5,IF(I164="A",7,10)),IF(B164="SE",IF(I164="L",4,IF(I164="A",5,7)),IF(OR(B164="EE",B164="CE"),IF(I164="L",3,IF(I164="A",4,6)),0)))))</f>
        <v/>
      </c>
      <c r="I164" s="110">
        <f>IF(OR(ISBLANK(D164),ISBLANK(E164)),IF(OR(B164="ALI",B164="AIE"),"L",IF(OR(B164="EE",B164="SE",B164="CE"),"A","")),IF(B164="EE",IF(E164&gt;=3,IF(D164&gt;=5,"H","A"),IF(E164&gt;=2,IF(D164&gt;=16,"H",IF(D164&lt;=4,"L","A")),IF(D164&lt;=15,"L","A"))),IF(OR(B164="SE",B164="CE"),IF(E164&gt;=4,IF(D164&gt;=6,"H","A"),IF(E164&gt;=2,IF(D164&gt;=20,"H",IF(D164&lt;=5,"L","A")),IF(D164&lt;=19,"L","A"))),IF(OR(B164="ALI",B164="AIE"),IF(E164&gt;=6,IF(D164&gt;=20,"H","A"),IF(E164&gt;=2,IF(D164&gt;=51,"H",IF(D164&lt;=19,"L","A")),IF(D164&lt;=50,"L","A"))),""))))</f>
        <v/>
      </c>
      <c r="J164" s="7">
        <f>CONCATENATE(B164,C164)</f>
        <v/>
      </c>
      <c r="K164" s="9">
        <f>IF(OR(H164="",H164=0),L164,H164)</f>
        <v/>
      </c>
      <c r="L164" s="9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 t="n"/>
      <c r="N164" s="115" t="n"/>
      <c r="O164" s="6" t="n"/>
    </row>
    <row r="165">
      <c r="A165" s="112" t="n"/>
      <c r="B165" s="4" t="n"/>
      <c r="C165" s="4" t="n"/>
      <c r="D165" s="7" t="n"/>
      <c r="E165" s="7" t="n"/>
      <c r="F165" s="8">
        <f>IF(ISBLANK(B165),"",IF(I165="L","Baixa",IF(I165="A","Média",IF(I165="","","Alta"))))</f>
        <v/>
      </c>
      <c r="G165" s="7">
        <f>CONCATENATE(B165,I165)</f>
        <v/>
      </c>
      <c r="H165" s="5">
        <f>IF(ISBLANK(B165),"",IF(B165="ALI",IF(I165="L",7,IF(I165="A",10,15)),IF(B165="AIE",IF(I165="L",5,IF(I165="A",7,10)),IF(B165="SE",IF(I165="L",4,IF(I165="A",5,7)),IF(OR(B165="EE",B165="CE"),IF(I165="L",3,IF(I165="A",4,6)),0)))))</f>
        <v/>
      </c>
      <c r="I165" s="110">
        <f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/>
      </c>
      <c r="J165" s="7">
        <f>CONCATENATE(B165,C165)</f>
        <v/>
      </c>
      <c r="K165" s="9">
        <f>IF(OR(H165="",H165=0),L165,H165)</f>
        <v/>
      </c>
      <c r="L165" s="9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 t="n"/>
      <c r="N165" s="115" t="n"/>
      <c r="O165" s="6" t="n"/>
    </row>
    <row r="166">
      <c r="A166" s="112" t="n"/>
      <c r="B166" s="4" t="n"/>
      <c r="C166" s="4" t="n"/>
      <c r="D166" s="7" t="n"/>
      <c r="E166" s="7" t="n"/>
      <c r="F166" s="8">
        <f>IF(ISBLANK(B166),"",IF(I166="L","Baixa",IF(I166="A","Média",IF(I166="","","Alta"))))</f>
        <v/>
      </c>
      <c r="G166" s="7">
        <f>CONCATENATE(B166,I166)</f>
        <v/>
      </c>
      <c r="H166" s="5">
        <f>IF(ISBLANK(B166),"",IF(B166="ALI",IF(I166="L",7,IF(I166="A",10,15)),IF(B166="AIE",IF(I166="L",5,IF(I166="A",7,10)),IF(B166="SE",IF(I166="L",4,IF(I166="A",5,7)),IF(OR(B166="EE",B166="CE"),IF(I166="L",3,IF(I166="A",4,6)),0)))))</f>
        <v/>
      </c>
      <c r="I166" s="110">
        <f>IF(OR(ISBLANK(D166),ISBLANK(E166)),IF(OR(B166="ALI",B166="AIE"),"L",IF(OR(B166="EE",B166="SE",B166="CE"),"A","")),IF(B166="EE",IF(E166&gt;=3,IF(D166&gt;=5,"H","A"),IF(E166&gt;=2,IF(D166&gt;=16,"H",IF(D166&lt;=4,"L","A")),IF(D166&lt;=15,"L","A"))),IF(OR(B166="SE",B166="CE"),IF(E166&gt;=4,IF(D166&gt;=6,"H","A"),IF(E166&gt;=2,IF(D166&gt;=20,"H",IF(D166&lt;=5,"L","A")),IF(D166&lt;=19,"L","A"))),IF(OR(B166="ALI",B166="AIE"),IF(E166&gt;=6,IF(D166&gt;=20,"H","A"),IF(E166&gt;=2,IF(D166&gt;=51,"H",IF(D166&lt;=19,"L","A")),IF(D166&lt;=50,"L","A"))),""))))</f>
        <v/>
      </c>
      <c r="J166" s="7">
        <f>CONCATENATE(B166,C166)</f>
        <v/>
      </c>
      <c r="K166" s="9">
        <f>IF(OR(H166="",H166=0),L166,H166)</f>
        <v/>
      </c>
      <c r="L166" s="9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 t="n"/>
      <c r="N166" s="115" t="n"/>
      <c r="O166" s="6" t="n"/>
    </row>
    <row r="167">
      <c r="A167" s="112" t="n"/>
      <c r="B167" s="4" t="n"/>
      <c r="C167" s="4" t="n"/>
      <c r="D167" s="7" t="n"/>
      <c r="E167" s="7" t="n"/>
      <c r="F167" s="8">
        <f>IF(ISBLANK(B167),"",IF(I167="L","Baixa",IF(I167="A","Média",IF(I167="","","Alta"))))</f>
        <v/>
      </c>
      <c r="G167" s="7">
        <f>CONCATENATE(B167,I167)</f>
        <v/>
      </c>
      <c r="H167" s="5">
        <f>IF(ISBLANK(B167),"",IF(B167="ALI",IF(I167="L",7,IF(I167="A",10,15)),IF(B167="AIE",IF(I167="L",5,IF(I167="A",7,10)),IF(B167="SE",IF(I167="L",4,IF(I167="A",5,7)),IF(OR(B167="EE",B167="CE"),IF(I167="L",3,IF(I167="A",4,6)),0)))))</f>
        <v/>
      </c>
      <c r="I167" s="110">
        <f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/>
      </c>
      <c r="J167" s="7">
        <f>CONCATENATE(B167,C167)</f>
        <v/>
      </c>
      <c r="K167" s="9">
        <f>IF(OR(H167="",H167=0),L167,H167)</f>
        <v/>
      </c>
      <c r="L167" s="9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 t="n"/>
      <c r="N167" s="115" t="n"/>
      <c r="O167" s="6" t="n"/>
    </row>
    <row r="168">
      <c r="A168" s="112" t="n"/>
      <c r="B168" s="4" t="n"/>
      <c r="C168" s="4" t="n"/>
      <c r="D168" s="7" t="n"/>
      <c r="E168" s="7" t="n"/>
      <c r="F168" s="8">
        <f>IF(ISBLANK(B168),"",IF(I168="L","Baixa",IF(I168="A","Média",IF(I168="","","Alta"))))</f>
        <v/>
      </c>
      <c r="G168" s="7">
        <f>CONCATENATE(B168,I168)</f>
        <v/>
      </c>
      <c r="H168" s="5">
        <f>IF(ISBLANK(B168),"",IF(B168="ALI",IF(I168="L",7,IF(I168="A",10,15)),IF(B168="AIE",IF(I168="L",5,IF(I168="A",7,10)),IF(B168="SE",IF(I168="L",4,IF(I168="A",5,7)),IF(OR(B168="EE",B168="CE"),IF(I168="L",3,IF(I168="A",4,6)),0)))))</f>
        <v/>
      </c>
      <c r="I168" s="110">
        <f>IF(OR(ISBLANK(D168),ISBLANK(E168)),IF(OR(B168="ALI",B168="AIE"),"L",IF(OR(B168="EE",B168="SE",B168="CE"),"A","")),IF(B168="EE",IF(E168&gt;=3,IF(D168&gt;=5,"H","A"),IF(E168&gt;=2,IF(D168&gt;=16,"H",IF(D168&lt;=4,"L","A")),IF(D168&lt;=15,"L","A"))),IF(OR(B168="SE",B168="CE"),IF(E168&gt;=4,IF(D168&gt;=6,"H","A"),IF(E168&gt;=2,IF(D168&gt;=20,"H",IF(D168&lt;=5,"L","A")),IF(D168&lt;=19,"L","A"))),IF(OR(B168="ALI",B168="AIE"),IF(E168&gt;=6,IF(D168&gt;=20,"H","A"),IF(E168&gt;=2,IF(D168&gt;=51,"H",IF(D168&lt;=19,"L","A")),IF(D168&lt;=50,"L","A"))),""))))</f>
        <v/>
      </c>
      <c r="J168" s="7">
        <f>CONCATENATE(B168,C168)</f>
        <v/>
      </c>
      <c r="K168" s="9">
        <f>IF(OR(H168="",H168=0),L168,H168)</f>
        <v/>
      </c>
      <c r="L168" s="9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 t="n"/>
      <c r="N168" s="115" t="n"/>
      <c r="O168" s="6" t="n"/>
    </row>
    <row r="169">
      <c r="A169" s="112" t="n"/>
      <c r="B169" s="4" t="n"/>
      <c r="C169" s="4" t="n"/>
      <c r="D169" s="7" t="n"/>
      <c r="E169" s="7" t="n"/>
      <c r="F169" s="8">
        <f>IF(ISBLANK(B169),"",IF(I169="L","Baixa",IF(I169="A","Média",IF(I169="","","Alta"))))</f>
        <v/>
      </c>
      <c r="G169" s="7">
        <f>CONCATENATE(B169,I169)</f>
        <v/>
      </c>
      <c r="H169" s="5">
        <f>IF(ISBLANK(B169),"",IF(B169="ALI",IF(I169="L",7,IF(I169="A",10,15)),IF(B169="AIE",IF(I169="L",5,IF(I169="A",7,10)),IF(B169="SE",IF(I169="L",4,IF(I169="A",5,7)),IF(OR(B169="EE",B169="CE"),IF(I169="L",3,IF(I169="A",4,6)),0)))))</f>
        <v/>
      </c>
      <c r="I169" s="110">
        <f>IF(OR(ISBLANK(D169),ISBLANK(E169)),IF(OR(B169="ALI",B169="AIE"),"L",IF(OR(B169="EE",B169="SE",B169="CE"),"A","")),IF(B169="EE",IF(E169&gt;=3,IF(D169&gt;=5,"H","A"),IF(E169&gt;=2,IF(D169&gt;=16,"H",IF(D169&lt;=4,"L","A")),IF(D169&lt;=15,"L","A"))),IF(OR(B169="SE",B169="CE"),IF(E169&gt;=4,IF(D169&gt;=6,"H","A"),IF(E169&gt;=2,IF(D169&gt;=20,"H",IF(D169&lt;=5,"L","A")),IF(D169&lt;=19,"L","A"))),IF(OR(B169="ALI",B169="AIE"),IF(E169&gt;=6,IF(D169&gt;=20,"H","A"),IF(E169&gt;=2,IF(D169&gt;=51,"H",IF(D169&lt;=19,"L","A")),IF(D169&lt;=50,"L","A"))),""))))</f>
        <v/>
      </c>
      <c r="J169" s="7">
        <f>CONCATENATE(B169,C169)</f>
        <v/>
      </c>
      <c r="K169" s="9">
        <f>IF(OR(H169="",H169=0),L169,H169)</f>
        <v/>
      </c>
      <c r="L169" s="9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 t="n"/>
      <c r="N169" s="115" t="n"/>
      <c r="O169" s="6" t="n"/>
    </row>
    <row r="170">
      <c r="A170" s="112" t="n"/>
      <c r="B170" s="4" t="n"/>
      <c r="C170" s="4" t="n"/>
      <c r="D170" s="7" t="n"/>
      <c r="E170" s="7" t="n"/>
      <c r="F170" s="8">
        <f>IF(ISBLANK(B170),"",IF(I170="L","Baixa",IF(I170="A","Média",IF(I170="","","Alta"))))</f>
        <v/>
      </c>
      <c r="G170" s="7">
        <f>CONCATENATE(B170,I170)</f>
        <v/>
      </c>
      <c r="H170" s="5">
        <f>IF(ISBLANK(B170),"",IF(B170="ALI",IF(I170="L",7,IF(I170="A",10,15)),IF(B170="AIE",IF(I170="L",5,IF(I170="A",7,10)),IF(B170="SE",IF(I170="L",4,IF(I170="A",5,7)),IF(OR(B170="EE",B170="CE"),IF(I170="L",3,IF(I170="A",4,6)),0)))))</f>
        <v/>
      </c>
      <c r="I170" s="110">
        <f>IF(OR(ISBLANK(D170),ISBLANK(E170)),IF(OR(B170="ALI",B170="AIE"),"L",IF(OR(B170="EE",B170="SE",B170="CE"),"A","")),IF(B170="EE",IF(E170&gt;=3,IF(D170&gt;=5,"H","A"),IF(E170&gt;=2,IF(D170&gt;=16,"H",IF(D170&lt;=4,"L","A")),IF(D170&lt;=15,"L","A"))),IF(OR(B170="SE",B170="CE"),IF(E170&gt;=4,IF(D170&gt;=6,"H","A"),IF(E170&gt;=2,IF(D170&gt;=20,"H",IF(D170&lt;=5,"L","A")),IF(D170&lt;=19,"L","A"))),IF(OR(B170="ALI",B170="AIE"),IF(E170&gt;=6,IF(D170&gt;=20,"H","A"),IF(E170&gt;=2,IF(D170&gt;=51,"H",IF(D170&lt;=19,"L","A")),IF(D170&lt;=50,"L","A"))),""))))</f>
        <v/>
      </c>
      <c r="J170" s="7">
        <f>CONCATENATE(B170,C170)</f>
        <v/>
      </c>
      <c r="K170" s="9">
        <f>IF(OR(H170="",H170=0),L170,H170)</f>
        <v/>
      </c>
      <c r="L170" s="9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 t="n"/>
      <c r="N170" s="115" t="n"/>
      <c r="O170" s="6" t="n"/>
    </row>
    <row r="171">
      <c r="A171" s="112" t="n"/>
      <c r="B171" s="4" t="n"/>
      <c r="C171" s="4" t="n"/>
      <c r="D171" s="7" t="n"/>
      <c r="E171" s="7" t="n"/>
      <c r="F171" s="8">
        <f>IF(ISBLANK(B171),"",IF(I171="L","Baixa",IF(I171="A","Média",IF(I171="","","Alta"))))</f>
        <v/>
      </c>
      <c r="G171" s="7">
        <f>CONCATENATE(B171,I171)</f>
        <v/>
      </c>
      <c r="H171" s="5">
        <f>IF(ISBLANK(B171),"",IF(B171="ALI",IF(I171="L",7,IF(I171="A",10,15)),IF(B171="AIE",IF(I171="L",5,IF(I171="A",7,10)),IF(B171="SE",IF(I171="L",4,IF(I171="A",5,7)),IF(OR(B171="EE",B171="CE"),IF(I171="L",3,IF(I171="A",4,6)),0)))))</f>
        <v/>
      </c>
      <c r="I171" s="110">
        <f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/>
      </c>
      <c r="J171" s="7">
        <f>CONCATENATE(B171,C171)</f>
        <v/>
      </c>
      <c r="K171" s="9">
        <f>IF(OR(H171="",H171=0),L171,H171)</f>
        <v/>
      </c>
      <c r="L171" s="9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 t="n"/>
      <c r="N171" s="115" t="n"/>
      <c r="O171" s="6" t="n"/>
    </row>
    <row r="172">
      <c r="A172" s="112" t="n"/>
      <c r="B172" s="4" t="n"/>
      <c r="C172" s="4" t="n"/>
      <c r="D172" s="7" t="n"/>
      <c r="E172" s="7" t="n"/>
      <c r="F172" s="8">
        <f>IF(ISBLANK(B172),"",IF(I172="L","Baixa",IF(I172="A","Média",IF(I172="","","Alta"))))</f>
        <v/>
      </c>
      <c r="G172" s="7">
        <f>CONCATENATE(B172,I172)</f>
        <v/>
      </c>
      <c r="H172" s="5">
        <f>IF(ISBLANK(B172),"",IF(B172="ALI",IF(I172="L",7,IF(I172="A",10,15)),IF(B172="AIE",IF(I172="L",5,IF(I172="A",7,10)),IF(B172="SE",IF(I172="L",4,IF(I172="A",5,7)),IF(OR(B172="EE",B172="CE"),IF(I172="L",3,IF(I172="A",4,6)),0)))))</f>
        <v/>
      </c>
      <c r="I172" s="110">
        <f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/>
      </c>
      <c r="J172" s="7">
        <f>CONCATENATE(B172,C172)</f>
        <v/>
      </c>
      <c r="K172" s="9">
        <f>IF(OR(H172="",H172=0),L172,H172)</f>
        <v/>
      </c>
      <c r="L172" s="9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 t="n"/>
      <c r="N172" s="115" t="n"/>
      <c r="O172" s="6" t="n"/>
    </row>
    <row r="173">
      <c r="A173" s="112" t="n"/>
      <c r="B173" s="4" t="n"/>
      <c r="C173" s="4" t="n"/>
      <c r="D173" s="7" t="n"/>
      <c r="E173" s="7" t="n"/>
      <c r="F173" s="8">
        <f>IF(ISBLANK(B173),"",IF(I173="L","Baixa",IF(I173="A","Média",IF(I173="","","Alta"))))</f>
        <v/>
      </c>
      <c r="G173" s="7">
        <f>CONCATENATE(B173,I173)</f>
        <v/>
      </c>
      <c r="H173" s="5">
        <f>IF(ISBLANK(B173),"",IF(B173="ALI",IF(I173="L",7,IF(I173="A",10,15)),IF(B173="AIE",IF(I173="L",5,IF(I173="A",7,10)),IF(B173="SE",IF(I173="L",4,IF(I173="A",5,7)),IF(OR(B173="EE",B173="CE"),IF(I173="L",3,IF(I173="A",4,6)),0)))))</f>
        <v/>
      </c>
      <c r="I173" s="110">
        <f>IF(OR(ISBLANK(D173),ISBLANK(E173)),IF(OR(B173="ALI",B173="AIE"),"L",IF(OR(B173="EE",B173="SE",B173="CE"),"A","")),IF(B173="EE",IF(E173&gt;=3,IF(D173&gt;=5,"H","A"),IF(E173&gt;=2,IF(D173&gt;=16,"H",IF(D173&lt;=4,"L","A")),IF(D173&lt;=15,"L","A"))),IF(OR(B173="SE",B173="CE"),IF(E173&gt;=4,IF(D173&gt;=6,"H","A"),IF(E173&gt;=2,IF(D173&gt;=20,"H",IF(D173&lt;=5,"L","A")),IF(D173&lt;=19,"L","A"))),IF(OR(B173="ALI",B173="AIE"),IF(E173&gt;=6,IF(D173&gt;=20,"H","A"),IF(E173&gt;=2,IF(D173&gt;=51,"H",IF(D173&lt;=19,"L","A")),IF(D173&lt;=50,"L","A"))),""))))</f>
        <v/>
      </c>
      <c r="J173" s="7">
        <f>CONCATENATE(B173,C173)</f>
        <v/>
      </c>
      <c r="K173" s="9">
        <f>IF(OR(H173="",H173=0),L173,H173)</f>
        <v/>
      </c>
      <c r="L173" s="9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 t="n"/>
      <c r="N173" s="115" t="n"/>
      <c r="O173" s="6" t="n"/>
    </row>
    <row r="174">
      <c r="A174" s="112" t="n"/>
      <c r="B174" s="4" t="n"/>
      <c r="C174" s="4" t="n"/>
      <c r="D174" s="7" t="n"/>
      <c r="E174" s="7" t="n"/>
      <c r="F174" s="8">
        <f>IF(ISBLANK(B174),"",IF(I174="L","Baixa",IF(I174="A","Média",IF(I174="","","Alta"))))</f>
        <v/>
      </c>
      <c r="G174" s="7">
        <f>CONCATENATE(B174,I174)</f>
        <v/>
      </c>
      <c r="H174" s="5">
        <f>IF(ISBLANK(B174),"",IF(B174="ALI",IF(I174="L",7,IF(I174="A",10,15)),IF(B174="AIE",IF(I174="L",5,IF(I174="A",7,10)),IF(B174="SE",IF(I174="L",4,IF(I174="A",5,7)),IF(OR(B174="EE",B174="CE"),IF(I174="L",3,IF(I174="A",4,6)),0)))))</f>
        <v/>
      </c>
      <c r="I174" s="110">
        <f>IF(OR(ISBLANK(D174),ISBLANK(E174)),IF(OR(B174="ALI",B174="AIE"),"L",IF(OR(B174="EE",B174="SE",B174="CE"),"A","")),IF(B174="EE",IF(E174&gt;=3,IF(D174&gt;=5,"H","A"),IF(E174&gt;=2,IF(D174&gt;=16,"H",IF(D174&lt;=4,"L","A")),IF(D174&lt;=15,"L","A"))),IF(OR(B174="SE",B174="CE"),IF(E174&gt;=4,IF(D174&gt;=6,"H","A"),IF(E174&gt;=2,IF(D174&gt;=20,"H",IF(D174&lt;=5,"L","A")),IF(D174&lt;=19,"L","A"))),IF(OR(B174="ALI",B174="AIE"),IF(E174&gt;=6,IF(D174&gt;=20,"H","A"),IF(E174&gt;=2,IF(D174&gt;=51,"H",IF(D174&lt;=19,"L","A")),IF(D174&lt;=50,"L","A"))),""))))</f>
        <v/>
      </c>
      <c r="J174" s="7">
        <f>CONCATENATE(B174,C174)</f>
        <v/>
      </c>
      <c r="K174" s="9">
        <f>IF(OR(H174="",H174=0),L174,H174)</f>
        <v/>
      </c>
      <c r="L174" s="9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 t="n"/>
      <c r="N174" s="115" t="n"/>
      <c r="O174" s="6" t="n"/>
    </row>
    <row r="175">
      <c r="A175" s="112" t="n"/>
      <c r="B175" s="4" t="n"/>
      <c r="C175" s="4" t="n"/>
      <c r="D175" s="7" t="n"/>
      <c r="E175" s="7" t="n"/>
      <c r="F175" s="8">
        <f>IF(ISBLANK(B175),"",IF(I175="L","Baixa",IF(I175="A","Média",IF(I175="","","Alta"))))</f>
        <v/>
      </c>
      <c r="G175" s="7">
        <f>CONCATENATE(B175,I175)</f>
        <v/>
      </c>
      <c r="H175" s="5">
        <f>IF(ISBLANK(B175),"",IF(B175="ALI",IF(I175="L",7,IF(I175="A",10,15)),IF(B175="AIE",IF(I175="L",5,IF(I175="A",7,10)),IF(B175="SE",IF(I175="L",4,IF(I175="A",5,7)),IF(OR(B175="EE",B175="CE"),IF(I175="L",3,IF(I175="A",4,6)),0)))))</f>
        <v/>
      </c>
      <c r="I175" s="110">
        <f>IF(OR(ISBLANK(D175),ISBLANK(E175)),IF(OR(B175="ALI",B175="AIE"),"L",IF(OR(B175="EE",B175="SE",B175="CE"),"A","")),IF(B175="EE",IF(E175&gt;=3,IF(D175&gt;=5,"H","A"),IF(E175&gt;=2,IF(D175&gt;=16,"H",IF(D175&lt;=4,"L","A")),IF(D175&lt;=15,"L","A"))),IF(OR(B175="SE",B175="CE"),IF(E175&gt;=4,IF(D175&gt;=6,"H","A"),IF(E175&gt;=2,IF(D175&gt;=20,"H",IF(D175&lt;=5,"L","A")),IF(D175&lt;=19,"L","A"))),IF(OR(B175="ALI",B175="AIE"),IF(E175&gt;=6,IF(D175&gt;=20,"H","A"),IF(E175&gt;=2,IF(D175&gt;=51,"H",IF(D175&lt;=19,"L","A")),IF(D175&lt;=50,"L","A"))),""))))</f>
        <v/>
      </c>
      <c r="J175" s="7">
        <f>CONCATENATE(B175,C175)</f>
        <v/>
      </c>
      <c r="K175" s="9">
        <f>IF(OR(H175="",H175=0),L175,H175)</f>
        <v/>
      </c>
      <c r="L175" s="9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 t="n"/>
      <c r="N175" s="115" t="n"/>
      <c r="O175" s="6" t="n"/>
    </row>
    <row r="176">
      <c r="A176" s="112" t="n"/>
      <c r="B176" s="4" t="n"/>
      <c r="C176" s="4" t="n"/>
      <c r="D176" s="7" t="n"/>
      <c r="E176" s="7" t="n"/>
      <c r="F176" s="8">
        <f>IF(ISBLANK(B176),"",IF(I176="L","Baixa",IF(I176="A","Média",IF(I176="","","Alta"))))</f>
        <v/>
      </c>
      <c r="G176" s="7">
        <f>CONCATENATE(B176,I176)</f>
        <v/>
      </c>
      <c r="H176" s="5">
        <f>IF(ISBLANK(B176),"",IF(B176="ALI",IF(I176="L",7,IF(I176="A",10,15)),IF(B176="AIE",IF(I176="L",5,IF(I176="A",7,10)),IF(B176="SE",IF(I176="L",4,IF(I176="A",5,7)),IF(OR(B176="EE",B176="CE"),IF(I176="L",3,IF(I176="A",4,6)),0)))))</f>
        <v/>
      </c>
      <c r="I176" s="110">
        <f>IF(OR(ISBLANK(D176),ISBLANK(E176)),IF(OR(B176="ALI",B176="AIE"),"L",IF(OR(B176="EE",B176="SE",B176="CE"),"A","")),IF(B176="EE",IF(E176&gt;=3,IF(D176&gt;=5,"H","A"),IF(E176&gt;=2,IF(D176&gt;=16,"H",IF(D176&lt;=4,"L","A")),IF(D176&lt;=15,"L","A"))),IF(OR(B176="SE",B176="CE"),IF(E176&gt;=4,IF(D176&gt;=6,"H","A"),IF(E176&gt;=2,IF(D176&gt;=20,"H",IF(D176&lt;=5,"L","A")),IF(D176&lt;=19,"L","A"))),IF(OR(B176="ALI",B176="AIE"),IF(E176&gt;=6,IF(D176&gt;=20,"H","A"),IF(E176&gt;=2,IF(D176&gt;=51,"H",IF(D176&lt;=19,"L","A")),IF(D176&lt;=50,"L","A"))),""))))</f>
        <v/>
      </c>
      <c r="J176" s="7">
        <f>CONCATENATE(B176,C176)</f>
        <v/>
      </c>
      <c r="K176" s="9">
        <f>IF(OR(H176="",H176=0),L176,H176)</f>
        <v/>
      </c>
      <c r="L176" s="9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 t="n"/>
      <c r="N176" s="115" t="n"/>
      <c r="O176" s="6" t="n"/>
    </row>
    <row r="177">
      <c r="A177" s="112" t="n"/>
      <c r="B177" s="4" t="n"/>
      <c r="C177" s="4" t="n"/>
      <c r="D177" s="7" t="n"/>
      <c r="E177" s="7" t="n"/>
      <c r="F177" s="8">
        <f>IF(ISBLANK(B177),"",IF(I177="L","Baixa",IF(I177="A","Média",IF(I177="","","Alta"))))</f>
        <v/>
      </c>
      <c r="G177" s="7">
        <f>CONCATENATE(B177,I177)</f>
        <v/>
      </c>
      <c r="H177" s="5">
        <f>IF(ISBLANK(B177),"",IF(B177="ALI",IF(I177="L",7,IF(I177="A",10,15)),IF(B177="AIE",IF(I177="L",5,IF(I177="A",7,10)),IF(B177="SE",IF(I177="L",4,IF(I177="A",5,7)),IF(OR(B177="EE",B177="CE"),IF(I177="L",3,IF(I177="A",4,6)),0)))))</f>
        <v/>
      </c>
      <c r="I177" s="110">
        <f>IF(OR(ISBLANK(D177),ISBLANK(E177)),IF(OR(B177="ALI",B177="AIE"),"L",IF(OR(B177="EE",B177="SE",B177="CE"),"A","")),IF(B177="EE",IF(E177&gt;=3,IF(D177&gt;=5,"H","A"),IF(E177&gt;=2,IF(D177&gt;=16,"H",IF(D177&lt;=4,"L","A")),IF(D177&lt;=15,"L","A"))),IF(OR(B177="SE",B177="CE"),IF(E177&gt;=4,IF(D177&gt;=6,"H","A"),IF(E177&gt;=2,IF(D177&gt;=20,"H",IF(D177&lt;=5,"L","A")),IF(D177&lt;=19,"L","A"))),IF(OR(B177="ALI",B177="AIE"),IF(E177&gt;=6,IF(D177&gt;=20,"H","A"),IF(E177&gt;=2,IF(D177&gt;=51,"H",IF(D177&lt;=19,"L","A")),IF(D177&lt;=50,"L","A"))),""))))</f>
        <v/>
      </c>
      <c r="J177" s="7">
        <f>CONCATENATE(B177,C177)</f>
        <v/>
      </c>
      <c r="K177" s="9">
        <f>IF(OR(H177="",H177=0),L177,H177)</f>
        <v/>
      </c>
      <c r="L177" s="9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 t="n"/>
      <c r="N177" s="115" t="n"/>
      <c r="O177" s="6" t="n"/>
    </row>
    <row r="178">
      <c r="A178" s="112" t="n"/>
      <c r="B178" s="4" t="n"/>
      <c r="C178" s="4" t="n"/>
      <c r="D178" s="7" t="n"/>
      <c r="E178" s="7" t="n"/>
      <c r="F178" s="8">
        <f>IF(ISBLANK(B178),"",IF(I178="L","Baixa",IF(I178="A","Média",IF(I178="","","Alta"))))</f>
        <v/>
      </c>
      <c r="G178" s="7">
        <f>CONCATENATE(B178,I178)</f>
        <v/>
      </c>
      <c r="H178" s="5">
        <f>IF(ISBLANK(B178),"",IF(B178="ALI",IF(I178="L",7,IF(I178="A",10,15)),IF(B178="AIE",IF(I178="L",5,IF(I178="A",7,10)),IF(B178="SE",IF(I178="L",4,IF(I178="A",5,7)),IF(OR(B178="EE",B178="CE"),IF(I178="L",3,IF(I178="A",4,6)),0)))))</f>
        <v/>
      </c>
      <c r="I178" s="110">
        <f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/>
      </c>
      <c r="J178" s="7">
        <f>CONCATENATE(B178,C178)</f>
        <v/>
      </c>
      <c r="K178" s="9">
        <f>IF(OR(H178="",H178=0),L178,H178)</f>
        <v/>
      </c>
      <c r="L178" s="9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 t="n"/>
      <c r="N178" s="115" t="n"/>
      <c r="O178" s="6" t="n"/>
    </row>
    <row r="179">
      <c r="A179" s="112" t="n"/>
      <c r="B179" s="4" t="n"/>
      <c r="C179" s="4" t="n"/>
      <c r="D179" s="7" t="n"/>
      <c r="E179" s="7" t="n"/>
      <c r="F179" s="8">
        <f>IF(ISBLANK(B179),"",IF(I179="L","Baixa",IF(I179="A","Média",IF(I179="","","Alta"))))</f>
        <v/>
      </c>
      <c r="G179" s="7">
        <f>CONCATENATE(B179,I179)</f>
        <v/>
      </c>
      <c r="H179" s="5">
        <f>IF(ISBLANK(B179),"",IF(B179="ALI",IF(I179="L",7,IF(I179="A",10,15)),IF(B179="AIE",IF(I179="L",5,IF(I179="A",7,10)),IF(B179="SE",IF(I179="L",4,IF(I179="A",5,7)),IF(OR(B179="EE",B179="CE"),IF(I179="L",3,IF(I179="A",4,6)),0)))))</f>
        <v/>
      </c>
      <c r="I179" s="110">
        <f>IF(OR(ISBLANK(D179),ISBLANK(E179)),IF(OR(B179="ALI",B179="AIE"),"L",IF(OR(B179="EE",B179="SE",B179="CE"),"A","")),IF(B179="EE",IF(E179&gt;=3,IF(D179&gt;=5,"H","A"),IF(E179&gt;=2,IF(D179&gt;=16,"H",IF(D179&lt;=4,"L","A")),IF(D179&lt;=15,"L","A"))),IF(OR(B179="SE",B179="CE"),IF(E179&gt;=4,IF(D179&gt;=6,"H","A"),IF(E179&gt;=2,IF(D179&gt;=20,"H",IF(D179&lt;=5,"L","A")),IF(D179&lt;=19,"L","A"))),IF(OR(B179="ALI",B179="AIE"),IF(E179&gt;=6,IF(D179&gt;=20,"H","A"),IF(E179&gt;=2,IF(D179&gt;=51,"H",IF(D179&lt;=19,"L","A")),IF(D179&lt;=50,"L","A"))),""))))</f>
        <v/>
      </c>
      <c r="J179" s="7">
        <f>CONCATENATE(B179,C179)</f>
        <v/>
      </c>
      <c r="K179" s="9">
        <f>IF(OR(H179="",H179=0),L179,H179)</f>
        <v/>
      </c>
      <c r="L179" s="9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 t="n"/>
      <c r="N179" s="115" t="n"/>
      <c r="O179" s="6" t="n"/>
    </row>
    <row r="180">
      <c r="A180" s="112" t="n"/>
      <c r="B180" s="4" t="n"/>
      <c r="C180" s="4" t="n"/>
      <c r="D180" s="7" t="n"/>
      <c r="E180" s="7" t="n"/>
      <c r="F180" s="8">
        <f>IF(ISBLANK(B180),"",IF(I180="L","Baixa",IF(I180="A","Média",IF(I180="","","Alta"))))</f>
        <v/>
      </c>
      <c r="G180" s="7">
        <f>CONCATENATE(B180,I180)</f>
        <v/>
      </c>
      <c r="H180" s="5">
        <f>IF(ISBLANK(B180),"",IF(B180="ALI",IF(I180="L",7,IF(I180="A",10,15)),IF(B180="AIE",IF(I180="L",5,IF(I180="A",7,10)),IF(B180="SE",IF(I180="L",4,IF(I180="A",5,7)),IF(OR(B180="EE",B180="CE"),IF(I180="L",3,IF(I180="A",4,6)),0)))))</f>
        <v/>
      </c>
      <c r="I180" s="110">
        <f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>
        <f>CONCATENATE(B180,C180)</f>
        <v/>
      </c>
      <c r="K180" s="9">
        <f>IF(OR(H180="",H180=0),L180,H180)</f>
        <v/>
      </c>
      <c r="L180" s="9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 t="n"/>
      <c r="N180" s="115" t="n"/>
      <c r="O180" s="6" t="n"/>
    </row>
    <row r="181">
      <c r="A181" s="112" t="n"/>
      <c r="B181" s="4" t="n"/>
      <c r="C181" s="4" t="n"/>
      <c r="D181" s="7" t="n"/>
      <c r="E181" s="7" t="n"/>
      <c r="F181" s="8">
        <f>IF(ISBLANK(B181),"",IF(I181="L","Baixa",IF(I181="A","Média",IF(I181="","","Alta"))))</f>
        <v/>
      </c>
      <c r="G181" s="7">
        <f>CONCATENATE(B181,I181)</f>
        <v/>
      </c>
      <c r="H181" s="5">
        <f>IF(ISBLANK(B181),"",IF(B181="ALI",IF(I181="L",7,IF(I181="A",10,15)),IF(B181="AIE",IF(I181="L",5,IF(I181="A",7,10)),IF(B181="SE",IF(I181="L",4,IF(I181="A",5,7)),IF(OR(B181="EE",B181="CE"),IF(I181="L",3,IF(I181="A",4,6)),0)))))</f>
        <v/>
      </c>
      <c r="I181" s="110">
        <f>IF(OR(ISBLANK(D181),ISBLANK(E181)),IF(OR(B181="ALI",B181="AIE"),"L",IF(OR(B181="EE",B181="SE",B181="CE"),"A","")),IF(B181="EE",IF(E181&gt;=3,IF(D181&gt;=5,"H","A"),IF(E181&gt;=2,IF(D181&gt;=16,"H",IF(D181&lt;=4,"L","A")),IF(D181&lt;=15,"L","A"))),IF(OR(B181="SE",B181="CE"),IF(E181&gt;=4,IF(D181&gt;=6,"H","A"),IF(E181&gt;=2,IF(D181&gt;=20,"H",IF(D181&lt;=5,"L","A")),IF(D181&lt;=19,"L","A"))),IF(OR(B181="ALI",B181="AIE"),IF(E181&gt;=6,IF(D181&gt;=20,"H","A"),IF(E181&gt;=2,IF(D181&gt;=51,"H",IF(D181&lt;=19,"L","A")),IF(D181&lt;=50,"L","A"))),""))))</f>
        <v/>
      </c>
      <c r="J181" s="7">
        <f>CONCATENATE(B181,C181)</f>
        <v/>
      </c>
      <c r="K181" s="9">
        <f>IF(OR(H181="",H181=0),L181,H181)</f>
        <v/>
      </c>
      <c r="L181" s="9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 t="n"/>
      <c r="N181" s="115" t="n"/>
      <c r="O181" s="6" t="n"/>
    </row>
    <row r="182">
      <c r="A182" s="112" t="n"/>
      <c r="B182" s="4" t="n"/>
      <c r="C182" s="4" t="n"/>
      <c r="D182" s="7" t="n"/>
      <c r="E182" s="7" t="n"/>
      <c r="F182" s="8">
        <f>IF(ISBLANK(B182),"",IF(I182="L","Baixa",IF(I182="A","Média",IF(I182="","","Alta"))))</f>
        <v/>
      </c>
      <c r="G182" s="7">
        <f>CONCATENATE(B182,I182)</f>
        <v/>
      </c>
      <c r="H182" s="5">
        <f>IF(ISBLANK(B182),"",IF(B182="ALI",IF(I182="L",7,IF(I182="A",10,15)),IF(B182="AIE",IF(I182="L",5,IF(I182="A",7,10)),IF(B182="SE",IF(I182="L",4,IF(I182="A",5,7)),IF(OR(B182="EE",B182="CE"),IF(I182="L",3,IF(I182="A",4,6)),0)))))</f>
        <v/>
      </c>
      <c r="I182" s="110">
        <f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>
        <f>CONCATENATE(B182,C182)</f>
        <v/>
      </c>
      <c r="K182" s="9">
        <f>IF(OR(H182="",H182=0),L182,H182)</f>
        <v/>
      </c>
      <c r="L182" s="9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 t="n"/>
      <c r="N182" s="115" t="n"/>
      <c r="O182" s="6" t="n"/>
    </row>
    <row r="183">
      <c r="A183" s="112" t="n"/>
      <c r="B183" s="4" t="n"/>
      <c r="C183" s="4" t="n"/>
      <c r="D183" s="7" t="n"/>
      <c r="E183" s="7" t="n"/>
      <c r="F183" s="8">
        <f>IF(ISBLANK(B183),"",IF(I183="L","Baixa",IF(I183="A","Média",IF(I183="","","Alta"))))</f>
        <v/>
      </c>
      <c r="G183" s="7">
        <f>CONCATENATE(B183,I183)</f>
        <v/>
      </c>
      <c r="H183" s="5">
        <f>IF(ISBLANK(B183),"",IF(B183="ALI",IF(I183="L",7,IF(I183="A",10,15)),IF(B183="AIE",IF(I183="L",5,IF(I183="A",7,10)),IF(B183="SE",IF(I183="L",4,IF(I183="A",5,7)),IF(OR(B183="EE",B183="CE"),IF(I183="L",3,IF(I183="A",4,6)),0)))))</f>
        <v/>
      </c>
      <c r="I183" s="110">
        <f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/>
      </c>
      <c r="J183" s="7">
        <f>CONCATENATE(B183,C183)</f>
        <v/>
      </c>
      <c r="K183" s="9">
        <f>IF(OR(H183="",H183=0),L183,H183)</f>
        <v/>
      </c>
      <c r="L183" s="9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 t="n"/>
      <c r="N183" s="115" t="n"/>
      <c r="O183" s="6" t="n"/>
    </row>
    <row r="184">
      <c r="A184" s="112" t="n"/>
      <c r="B184" s="4" t="n"/>
      <c r="C184" s="4" t="n"/>
      <c r="D184" s="7" t="n"/>
      <c r="E184" s="7" t="n"/>
      <c r="F184" s="8">
        <f>IF(ISBLANK(B184),"",IF(I184="L","Baixa",IF(I184="A","Média",IF(I184="","","Alta"))))</f>
        <v/>
      </c>
      <c r="G184" s="7">
        <f>CONCATENATE(B184,I184)</f>
        <v/>
      </c>
      <c r="H184" s="5">
        <f>IF(ISBLANK(B184),"",IF(B184="ALI",IF(I184="L",7,IF(I184="A",10,15)),IF(B184="AIE",IF(I184="L",5,IF(I184="A",7,10)),IF(B184="SE",IF(I184="L",4,IF(I184="A",5,7)),IF(OR(B184="EE",B184="CE"),IF(I184="L",3,IF(I184="A",4,6)),0)))))</f>
        <v/>
      </c>
      <c r="I184" s="110">
        <f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>
        <f>CONCATENATE(B184,C184)</f>
        <v/>
      </c>
      <c r="K184" s="9">
        <f>IF(OR(H184="",H184=0),L184,H184)</f>
        <v/>
      </c>
      <c r="L184" s="9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 t="n"/>
      <c r="N184" s="115" t="n"/>
      <c r="O184" s="6" t="n"/>
    </row>
    <row r="185">
      <c r="A185" s="112" t="n"/>
      <c r="B185" s="4" t="n"/>
      <c r="C185" s="4" t="n"/>
      <c r="D185" s="7" t="n"/>
      <c r="E185" s="7" t="n"/>
      <c r="F185" s="8">
        <f>IF(ISBLANK(B185),"",IF(I185="L","Baixa",IF(I185="A","Média",IF(I185="","","Alta"))))</f>
        <v/>
      </c>
      <c r="G185" s="7">
        <f>CONCATENATE(B185,I185)</f>
        <v/>
      </c>
      <c r="H185" s="5">
        <f>IF(ISBLANK(B185),"",IF(B185="ALI",IF(I185="L",7,IF(I185="A",10,15)),IF(B185="AIE",IF(I185="L",5,IF(I185="A",7,10)),IF(B185="SE",IF(I185="L",4,IF(I185="A",5,7)),IF(OR(B185="EE",B185="CE"),IF(I185="L",3,IF(I185="A",4,6)),0)))))</f>
        <v/>
      </c>
      <c r="I185" s="110">
        <f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/>
      </c>
      <c r="J185" s="7">
        <f>CONCATENATE(B185,C185)</f>
        <v/>
      </c>
      <c r="K185" s="9">
        <f>IF(OR(H185="",H185=0),L185,H185)</f>
        <v/>
      </c>
      <c r="L185" s="9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 t="n"/>
      <c r="N185" s="115" t="n"/>
      <c r="O185" s="6" t="n"/>
    </row>
    <row r="186">
      <c r="A186" s="112" t="n"/>
      <c r="B186" s="4" t="n"/>
      <c r="C186" s="4" t="n"/>
      <c r="D186" s="7" t="n"/>
      <c r="E186" s="7" t="n"/>
      <c r="F186" s="8">
        <f>IF(ISBLANK(B186),"",IF(I186="L","Baixa",IF(I186="A","Média",IF(I186="","","Alta"))))</f>
        <v/>
      </c>
      <c r="G186" s="7">
        <f>CONCATENATE(B186,I186)</f>
        <v/>
      </c>
      <c r="H186" s="5">
        <f>IF(ISBLANK(B186),"",IF(B186="ALI",IF(I186="L",7,IF(I186="A",10,15)),IF(B186="AIE",IF(I186="L",5,IF(I186="A",7,10)),IF(B186="SE",IF(I186="L",4,IF(I186="A",5,7)),IF(OR(B186="EE",B186="CE"),IF(I186="L",3,IF(I186="A",4,6)),0)))))</f>
        <v/>
      </c>
      <c r="I186" s="110">
        <f>IF(OR(ISBLANK(D186),ISBLANK(E186)),IF(OR(B186="ALI",B186="AIE"),"L",IF(OR(B186="EE",B186="SE",B186="CE"),"A","")),IF(B186="EE",IF(E186&gt;=3,IF(D186&gt;=5,"H","A"),IF(E186&gt;=2,IF(D186&gt;=16,"H",IF(D186&lt;=4,"L","A")),IF(D186&lt;=15,"L","A"))),IF(OR(B186="SE",B186="CE"),IF(E186&gt;=4,IF(D186&gt;=6,"H","A"),IF(E186&gt;=2,IF(D186&gt;=20,"H",IF(D186&lt;=5,"L","A")),IF(D186&lt;=19,"L","A"))),IF(OR(B186="ALI",B186="AIE"),IF(E186&gt;=6,IF(D186&gt;=20,"H","A"),IF(E186&gt;=2,IF(D186&gt;=51,"H",IF(D186&lt;=19,"L","A")),IF(D186&lt;=50,"L","A"))),""))))</f>
        <v/>
      </c>
      <c r="J186" s="7">
        <f>CONCATENATE(B186,C186)</f>
        <v/>
      </c>
      <c r="K186" s="9">
        <f>IF(OR(H186="",H186=0),L186,H186)</f>
        <v/>
      </c>
      <c r="L186" s="9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 t="n"/>
      <c r="N186" s="115" t="n"/>
      <c r="O186" s="6" t="n"/>
    </row>
    <row r="187">
      <c r="A187" s="112" t="n"/>
      <c r="B187" s="4" t="n"/>
      <c r="C187" s="4" t="n"/>
      <c r="D187" s="7" t="n"/>
      <c r="E187" s="7" t="n"/>
      <c r="F187" s="8">
        <f>IF(ISBLANK(B187),"",IF(I187="L","Baixa",IF(I187="A","Média",IF(I187="","","Alta"))))</f>
        <v/>
      </c>
      <c r="G187" s="7">
        <f>CONCATENATE(B187,I187)</f>
        <v/>
      </c>
      <c r="H187" s="5">
        <f>IF(ISBLANK(B187),"",IF(B187="ALI",IF(I187="L",7,IF(I187="A",10,15)),IF(B187="AIE",IF(I187="L",5,IF(I187="A",7,10)),IF(B187="SE",IF(I187="L",4,IF(I187="A",5,7)),IF(OR(B187="EE",B187="CE"),IF(I187="L",3,IF(I187="A",4,6)),0)))))</f>
        <v/>
      </c>
      <c r="I187" s="110">
        <f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/>
      </c>
      <c r="J187" s="7">
        <f>CONCATENATE(B187,C187)</f>
        <v/>
      </c>
      <c r="K187" s="9">
        <f>IF(OR(H187="",H187=0),L187,H187)</f>
        <v/>
      </c>
      <c r="L187" s="9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 t="n"/>
      <c r="N187" s="115" t="n"/>
      <c r="O187" s="6" t="n"/>
    </row>
    <row r="188">
      <c r="A188" s="112" t="n"/>
      <c r="B188" s="4" t="n"/>
      <c r="C188" s="4" t="n"/>
      <c r="D188" s="7" t="n"/>
      <c r="E188" s="7" t="n"/>
      <c r="F188" s="8">
        <f>IF(ISBLANK(B188),"",IF(I188="L","Baixa",IF(I188="A","Média",IF(I188="","","Alta"))))</f>
        <v/>
      </c>
      <c r="G188" s="7">
        <f>CONCATENATE(B188,I188)</f>
        <v/>
      </c>
      <c r="H188" s="5">
        <f>IF(ISBLANK(B188),"",IF(B188="ALI",IF(I188="L",7,IF(I188="A",10,15)),IF(B188="AIE",IF(I188="L",5,IF(I188="A",7,10)),IF(B188="SE",IF(I188="L",4,IF(I188="A",5,7)),IF(OR(B188="EE",B188="CE"),IF(I188="L",3,IF(I188="A",4,6)),0)))))</f>
        <v/>
      </c>
      <c r="I188" s="110">
        <f>IF(OR(ISBLANK(D188),ISBLANK(E188)),IF(OR(B188="ALI",B188="AIE"),"L",IF(OR(B188="EE",B188="SE",B188="CE"),"A","")),IF(B188="EE",IF(E188&gt;=3,IF(D188&gt;=5,"H","A"),IF(E188&gt;=2,IF(D188&gt;=16,"H",IF(D188&lt;=4,"L","A")),IF(D188&lt;=15,"L","A"))),IF(OR(B188="SE",B188="CE"),IF(E188&gt;=4,IF(D188&gt;=6,"H","A"),IF(E188&gt;=2,IF(D188&gt;=20,"H",IF(D188&lt;=5,"L","A")),IF(D188&lt;=19,"L","A"))),IF(OR(B188="ALI",B188="AIE"),IF(E188&gt;=6,IF(D188&gt;=20,"H","A"),IF(E188&gt;=2,IF(D188&gt;=51,"H",IF(D188&lt;=19,"L","A")),IF(D188&lt;=50,"L","A"))),""))))</f>
        <v/>
      </c>
      <c r="J188" s="7">
        <f>CONCATENATE(B188,C188)</f>
        <v/>
      </c>
      <c r="K188" s="9">
        <f>IF(OR(H188="",H188=0),L188,H188)</f>
        <v/>
      </c>
      <c r="L188" s="9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 t="n"/>
      <c r="N188" s="115" t="n"/>
      <c r="O188" s="6" t="n"/>
    </row>
    <row r="189">
      <c r="A189" s="112" t="n"/>
      <c r="B189" s="4" t="n"/>
      <c r="C189" s="4" t="n"/>
      <c r="D189" s="7" t="n"/>
      <c r="E189" s="7" t="n"/>
      <c r="F189" s="8">
        <f>IF(ISBLANK(B189),"",IF(I189="L","Baixa",IF(I189="A","Média",IF(I189="","","Alta"))))</f>
        <v/>
      </c>
      <c r="G189" s="7">
        <f>CONCATENATE(B189,I189)</f>
        <v/>
      </c>
      <c r="H189" s="5">
        <f>IF(ISBLANK(B189),"",IF(B189="ALI",IF(I189="L",7,IF(I189="A",10,15)),IF(B189="AIE",IF(I189="L",5,IF(I189="A",7,10)),IF(B189="SE",IF(I189="L",4,IF(I189="A",5,7)),IF(OR(B189="EE",B189="CE"),IF(I189="L",3,IF(I189="A",4,6)),0)))))</f>
        <v/>
      </c>
      <c r="I189" s="110">
        <f>IF(OR(ISBLANK(D189),ISBLANK(E189)),IF(OR(B189="ALI",B189="AIE"),"L",IF(OR(B189="EE",B189="SE",B189="CE"),"A","")),IF(B189="EE",IF(E189&gt;=3,IF(D189&gt;=5,"H","A"),IF(E189&gt;=2,IF(D189&gt;=16,"H",IF(D189&lt;=4,"L","A")),IF(D189&lt;=15,"L","A"))),IF(OR(B189="SE",B189="CE"),IF(E189&gt;=4,IF(D189&gt;=6,"H","A"),IF(E189&gt;=2,IF(D189&gt;=20,"H",IF(D189&lt;=5,"L","A")),IF(D189&lt;=19,"L","A"))),IF(OR(B189="ALI",B189="AIE"),IF(E189&gt;=6,IF(D189&gt;=20,"H","A"),IF(E189&gt;=2,IF(D189&gt;=51,"H",IF(D189&lt;=19,"L","A")),IF(D189&lt;=50,"L","A"))),""))))</f>
        <v/>
      </c>
      <c r="J189" s="7">
        <f>CONCATENATE(B189,C189)</f>
        <v/>
      </c>
      <c r="K189" s="9">
        <f>IF(OR(H189="",H189=0),L189,H189)</f>
        <v/>
      </c>
      <c r="L189" s="9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 t="n"/>
      <c r="N189" s="115" t="n"/>
      <c r="O189" s="6" t="n"/>
    </row>
    <row r="190">
      <c r="A190" s="112" t="n"/>
      <c r="B190" s="4" t="n"/>
      <c r="C190" s="4" t="n"/>
      <c r="D190" s="7" t="n"/>
      <c r="E190" s="7" t="n"/>
      <c r="F190" s="8">
        <f>IF(ISBLANK(B190),"",IF(I190="L","Baixa",IF(I190="A","Média",IF(I190="","","Alta"))))</f>
        <v/>
      </c>
      <c r="G190" s="7">
        <f>CONCATENATE(B190,I190)</f>
        <v/>
      </c>
      <c r="H190" s="5">
        <f>IF(ISBLANK(B190),"",IF(B190="ALI",IF(I190="L",7,IF(I190="A",10,15)),IF(B190="AIE",IF(I190="L",5,IF(I190="A",7,10)),IF(B190="SE",IF(I190="L",4,IF(I190="A",5,7)),IF(OR(B190="EE",B190="CE"),IF(I190="L",3,IF(I190="A",4,6)),0)))))</f>
        <v/>
      </c>
      <c r="I190" s="110">
        <f>IF(OR(ISBLANK(D190),ISBLANK(E190)),IF(OR(B190="ALI",B190="AIE"),"L",IF(OR(B190="EE",B190="SE",B190="CE"),"A","")),IF(B190="EE",IF(E190&gt;=3,IF(D190&gt;=5,"H","A"),IF(E190&gt;=2,IF(D190&gt;=16,"H",IF(D190&lt;=4,"L","A")),IF(D190&lt;=15,"L","A"))),IF(OR(B190="SE",B190="CE"),IF(E190&gt;=4,IF(D190&gt;=6,"H","A"),IF(E190&gt;=2,IF(D190&gt;=20,"H",IF(D190&lt;=5,"L","A")),IF(D190&lt;=19,"L","A"))),IF(OR(B190="ALI",B190="AIE"),IF(E190&gt;=6,IF(D190&gt;=20,"H","A"),IF(E190&gt;=2,IF(D190&gt;=51,"H",IF(D190&lt;=19,"L","A")),IF(D190&lt;=50,"L","A"))),""))))</f>
        <v/>
      </c>
      <c r="J190" s="7">
        <f>CONCATENATE(B190,C190)</f>
        <v/>
      </c>
      <c r="K190" s="9">
        <f>IF(OR(H190="",H190=0),L190,H190)</f>
        <v/>
      </c>
      <c r="L190" s="9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 t="n"/>
      <c r="N190" s="115" t="n"/>
      <c r="O190" s="6" t="n"/>
    </row>
    <row r="191">
      <c r="A191" s="112" t="n"/>
      <c r="B191" s="4" t="n"/>
      <c r="C191" s="4" t="n"/>
      <c r="D191" s="7" t="n"/>
      <c r="E191" s="7" t="n"/>
      <c r="F191" s="8">
        <f>IF(ISBLANK(B191),"",IF(I191="L","Baixa",IF(I191="A","Média",IF(I191="","","Alta"))))</f>
        <v/>
      </c>
      <c r="G191" s="7">
        <f>CONCATENATE(B191,I191)</f>
        <v/>
      </c>
      <c r="H191" s="5">
        <f>IF(ISBLANK(B191),"",IF(B191="ALI",IF(I191="L",7,IF(I191="A",10,15)),IF(B191="AIE",IF(I191="L",5,IF(I191="A",7,10)),IF(B191="SE",IF(I191="L",4,IF(I191="A",5,7)),IF(OR(B191="EE",B191="CE"),IF(I191="L",3,IF(I191="A",4,6)),0)))))</f>
        <v/>
      </c>
      <c r="I191" s="110">
        <f>IF(OR(ISBLANK(D191),ISBLANK(E191)),IF(OR(B191="ALI",B191="AIE"),"L",IF(OR(B191="EE",B191="SE",B191="CE"),"A","")),IF(B191="EE",IF(E191&gt;=3,IF(D191&gt;=5,"H","A"),IF(E191&gt;=2,IF(D191&gt;=16,"H",IF(D191&lt;=4,"L","A")),IF(D191&lt;=15,"L","A"))),IF(OR(B191="SE",B191="CE"),IF(E191&gt;=4,IF(D191&gt;=6,"H","A"),IF(E191&gt;=2,IF(D191&gt;=20,"H",IF(D191&lt;=5,"L","A")),IF(D191&lt;=19,"L","A"))),IF(OR(B191="ALI",B191="AIE"),IF(E191&gt;=6,IF(D191&gt;=20,"H","A"),IF(E191&gt;=2,IF(D191&gt;=51,"H",IF(D191&lt;=19,"L","A")),IF(D191&lt;=50,"L","A"))),""))))</f>
        <v/>
      </c>
      <c r="J191" s="7">
        <f>CONCATENATE(B191,C191)</f>
        <v/>
      </c>
      <c r="K191" s="9">
        <f>IF(OR(H191="",H191=0),L191,H191)</f>
        <v/>
      </c>
      <c r="L191" s="9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 t="n"/>
      <c r="N191" s="115" t="n"/>
      <c r="O191" s="6" t="n"/>
    </row>
    <row r="192">
      <c r="A192" s="112" t="n"/>
      <c r="B192" s="4" t="n"/>
      <c r="C192" s="4" t="n"/>
      <c r="D192" s="7" t="n"/>
      <c r="E192" s="7" t="n"/>
      <c r="F192" s="8">
        <f>IF(ISBLANK(B192),"",IF(I192="L","Baixa",IF(I192="A","Média",IF(I192="","","Alta"))))</f>
        <v/>
      </c>
      <c r="G192" s="7">
        <f>CONCATENATE(B192,I192)</f>
        <v/>
      </c>
      <c r="H192" s="5">
        <f>IF(ISBLANK(B192),"",IF(B192="ALI",IF(I192="L",7,IF(I192="A",10,15)),IF(B192="AIE",IF(I192="L",5,IF(I192="A",7,10)),IF(B192="SE",IF(I192="L",4,IF(I192="A",5,7)),IF(OR(B192="EE",B192="CE"),IF(I192="L",3,IF(I192="A",4,6)),0)))))</f>
        <v/>
      </c>
      <c r="I192" s="110">
        <f>IF(OR(ISBLANK(D192),ISBLANK(E192)),IF(OR(B192="ALI",B192="AIE"),"L",IF(OR(B192="EE",B192="SE",B192="CE"),"A","")),IF(B192="EE",IF(E192&gt;=3,IF(D192&gt;=5,"H","A"),IF(E192&gt;=2,IF(D192&gt;=16,"H",IF(D192&lt;=4,"L","A")),IF(D192&lt;=15,"L","A"))),IF(OR(B192="SE",B192="CE"),IF(E192&gt;=4,IF(D192&gt;=6,"H","A"),IF(E192&gt;=2,IF(D192&gt;=20,"H",IF(D192&lt;=5,"L","A")),IF(D192&lt;=19,"L","A"))),IF(OR(B192="ALI",B192="AIE"),IF(E192&gt;=6,IF(D192&gt;=20,"H","A"),IF(E192&gt;=2,IF(D192&gt;=51,"H",IF(D192&lt;=19,"L","A")),IF(D192&lt;=50,"L","A"))),""))))</f>
        <v/>
      </c>
      <c r="J192" s="7">
        <f>CONCATENATE(B192,C192)</f>
        <v/>
      </c>
      <c r="K192" s="9">
        <f>IF(OR(H192="",H192=0),L192,H192)</f>
        <v/>
      </c>
      <c r="L192" s="9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 t="n"/>
      <c r="N192" s="115" t="n"/>
      <c r="O192" s="6" t="n"/>
    </row>
    <row r="193">
      <c r="A193" s="112" t="n"/>
      <c r="B193" s="4" t="n"/>
      <c r="C193" s="4" t="n"/>
      <c r="D193" s="7" t="n"/>
      <c r="E193" s="7" t="n"/>
      <c r="F193" s="8">
        <f>IF(ISBLANK(B193),"",IF(I193="L","Baixa",IF(I193="A","Média",IF(I193="","","Alta"))))</f>
        <v/>
      </c>
      <c r="G193" s="7">
        <f>CONCATENATE(B193,I193)</f>
        <v/>
      </c>
      <c r="H193" s="5">
        <f>IF(ISBLANK(B193),"",IF(B193="ALI",IF(I193="L",7,IF(I193="A",10,15)),IF(B193="AIE",IF(I193="L",5,IF(I193="A",7,10)),IF(B193="SE",IF(I193="L",4,IF(I193="A",5,7)),IF(OR(B193="EE",B193="CE"),IF(I193="L",3,IF(I193="A",4,6)),0)))))</f>
        <v/>
      </c>
      <c r="I193" s="110">
        <f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/>
      </c>
      <c r="J193" s="7">
        <f>CONCATENATE(B193,C193)</f>
        <v/>
      </c>
      <c r="K193" s="9">
        <f>IF(OR(H193="",H193=0),L193,H193)</f>
        <v/>
      </c>
      <c r="L193" s="9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 t="n"/>
      <c r="N193" s="115" t="n"/>
      <c r="O193" s="6" t="n"/>
    </row>
    <row r="194">
      <c r="A194" s="112" t="n"/>
      <c r="B194" s="4" t="n"/>
      <c r="C194" s="4" t="n"/>
      <c r="D194" s="7" t="n"/>
      <c r="E194" s="7" t="n"/>
      <c r="F194" s="8">
        <f>IF(ISBLANK(B194),"",IF(I194="L","Baixa",IF(I194="A","Média",IF(I194="","","Alta"))))</f>
        <v/>
      </c>
      <c r="G194" s="7">
        <f>CONCATENATE(B194,I194)</f>
        <v/>
      </c>
      <c r="H194" s="5">
        <f>IF(ISBLANK(B194),"",IF(B194="ALI",IF(I194="L",7,IF(I194="A",10,15)),IF(B194="AIE",IF(I194="L",5,IF(I194="A",7,10)),IF(B194="SE",IF(I194="L",4,IF(I194="A",5,7)),IF(OR(B194="EE",B194="CE"),IF(I194="L",3,IF(I194="A",4,6)),0)))))</f>
        <v/>
      </c>
      <c r="I194" s="110">
        <f>IF(OR(ISBLANK(D194),ISBLANK(E194)),IF(OR(B194="ALI",B194="AIE"),"L",IF(OR(B194="EE",B194="SE",B194="CE"),"A","")),IF(B194="EE",IF(E194&gt;=3,IF(D194&gt;=5,"H","A"),IF(E194&gt;=2,IF(D194&gt;=16,"H",IF(D194&lt;=4,"L","A")),IF(D194&lt;=15,"L","A"))),IF(OR(B194="SE",B194="CE"),IF(E194&gt;=4,IF(D194&gt;=6,"H","A"),IF(E194&gt;=2,IF(D194&gt;=20,"H",IF(D194&lt;=5,"L","A")),IF(D194&lt;=19,"L","A"))),IF(OR(B194="ALI",B194="AIE"),IF(E194&gt;=6,IF(D194&gt;=20,"H","A"),IF(E194&gt;=2,IF(D194&gt;=51,"H",IF(D194&lt;=19,"L","A")),IF(D194&lt;=50,"L","A"))),""))))</f>
        <v/>
      </c>
      <c r="J194" s="7">
        <f>CONCATENATE(B194,C194)</f>
        <v/>
      </c>
      <c r="K194" s="9">
        <f>IF(OR(H194="",H194=0),L194,H194)</f>
        <v/>
      </c>
      <c r="L194" s="9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 t="n"/>
      <c r="N194" s="115" t="n"/>
      <c r="O194" s="6" t="n"/>
    </row>
    <row r="195">
      <c r="A195" s="112" t="n"/>
      <c r="B195" s="4" t="n"/>
      <c r="C195" s="4" t="n"/>
      <c r="D195" s="7" t="n"/>
      <c r="E195" s="7" t="n"/>
      <c r="F195" s="8">
        <f>IF(ISBLANK(B195),"",IF(I195="L","Baixa",IF(I195="A","Média",IF(I195="","","Alta"))))</f>
        <v/>
      </c>
      <c r="G195" s="7">
        <f>CONCATENATE(B195,I195)</f>
        <v/>
      </c>
      <c r="H195" s="5">
        <f>IF(ISBLANK(B195),"",IF(B195="ALI",IF(I195="L",7,IF(I195="A",10,15)),IF(B195="AIE",IF(I195="L",5,IF(I195="A",7,10)),IF(B195="SE",IF(I195="L",4,IF(I195="A",5,7)),IF(OR(B195="EE",B195="CE"),IF(I195="L",3,IF(I195="A",4,6)),0)))))</f>
        <v/>
      </c>
      <c r="I195" s="110">
        <f>IF(OR(ISBLANK(D195),ISBLANK(E195)),IF(OR(B195="ALI",B195="AIE"),"L",IF(OR(B195="EE",B195="SE",B195="CE"),"A","")),IF(B195="EE",IF(E195&gt;=3,IF(D195&gt;=5,"H","A"),IF(E195&gt;=2,IF(D195&gt;=16,"H",IF(D195&lt;=4,"L","A")),IF(D195&lt;=15,"L","A"))),IF(OR(B195="SE",B195="CE"),IF(E195&gt;=4,IF(D195&gt;=6,"H","A"),IF(E195&gt;=2,IF(D195&gt;=20,"H",IF(D195&lt;=5,"L","A")),IF(D195&lt;=19,"L","A"))),IF(OR(B195="ALI",B195="AIE"),IF(E195&gt;=6,IF(D195&gt;=20,"H","A"),IF(E195&gt;=2,IF(D195&gt;=51,"H",IF(D195&lt;=19,"L","A")),IF(D195&lt;=50,"L","A"))),""))))</f>
        <v/>
      </c>
      <c r="J195" s="7">
        <f>CONCATENATE(B195,C195)</f>
        <v/>
      </c>
      <c r="K195" s="9">
        <f>IF(OR(H195="",H195=0),L195,H195)</f>
        <v/>
      </c>
      <c r="L195" s="9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 t="n"/>
      <c r="N195" s="115" t="n"/>
      <c r="O195" s="6" t="n"/>
    </row>
    <row r="196">
      <c r="A196" s="112" t="n"/>
      <c r="B196" s="4" t="n"/>
      <c r="C196" s="4" t="n"/>
      <c r="D196" s="7" t="n"/>
      <c r="E196" s="7" t="n"/>
      <c r="F196" s="8">
        <f>IF(ISBLANK(B196),"",IF(I196="L","Baixa",IF(I196="A","Média",IF(I196="","","Alta"))))</f>
        <v/>
      </c>
      <c r="G196" s="7">
        <f>CONCATENATE(B196,I196)</f>
        <v/>
      </c>
      <c r="H196" s="5">
        <f>IF(ISBLANK(B196),"",IF(B196="ALI",IF(I196="L",7,IF(I196="A",10,15)),IF(B196="AIE",IF(I196="L",5,IF(I196="A",7,10)),IF(B196="SE",IF(I196="L",4,IF(I196="A",5,7)),IF(OR(B196="EE",B196="CE"),IF(I196="L",3,IF(I196="A",4,6)),0)))))</f>
        <v/>
      </c>
      <c r="I196" s="110">
        <f>IF(OR(ISBLANK(D196),ISBLANK(E196)),IF(OR(B196="ALI",B196="AIE"),"L",IF(OR(B196="EE",B196="SE",B196="CE"),"A","")),IF(B196="EE",IF(E196&gt;=3,IF(D196&gt;=5,"H","A"),IF(E196&gt;=2,IF(D196&gt;=16,"H",IF(D196&lt;=4,"L","A")),IF(D196&lt;=15,"L","A"))),IF(OR(B196="SE",B196="CE"),IF(E196&gt;=4,IF(D196&gt;=6,"H","A"),IF(E196&gt;=2,IF(D196&gt;=20,"H",IF(D196&lt;=5,"L","A")),IF(D196&lt;=19,"L","A"))),IF(OR(B196="ALI",B196="AIE"),IF(E196&gt;=6,IF(D196&gt;=20,"H","A"),IF(E196&gt;=2,IF(D196&gt;=51,"H",IF(D196&lt;=19,"L","A")),IF(D196&lt;=50,"L","A"))),""))))</f>
        <v/>
      </c>
      <c r="J196" s="7">
        <f>CONCATENATE(B196,C196)</f>
        <v/>
      </c>
      <c r="K196" s="9">
        <f>IF(OR(H196="",H196=0),L196,H196)</f>
        <v/>
      </c>
      <c r="L196" s="9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 t="n"/>
      <c r="N196" s="115" t="n"/>
      <c r="O196" s="6" t="n"/>
    </row>
    <row r="197">
      <c r="A197" s="112" t="n"/>
      <c r="B197" s="4" t="n"/>
      <c r="C197" s="4" t="n"/>
      <c r="D197" s="7" t="n"/>
      <c r="E197" s="7" t="n"/>
      <c r="F197" s="8">
        <f>IF(ISBLANK(B197),"",IF(I197="L","Baixa",IF(I197="A","Média",IF(I197="","","Alta"))))</f>
        <v/>
      </c>
      <c r="G197" s="7">
        <f>CONCATENATE(B197,I197)</f>
        <v/>
      </c>
      <c r="H197" s="5">
        <f>IF(ISBLANK(B197),"",IF(B197="ALI",IF(I197="L",7,IF(I197="A",10,15)),IF(B197="AIE",IF(I197="L",5,IF(I197="A",7,10)),IF(B197="SE",IF(I197="L",4,IF(I197="A",5,7)),IF(OR(B197="EE",B197="CE"),IF(I197="L",3,IF(I197="A",4,6)),0)))))</f>
        <v/>
      </c>
      <c r="I197" s="110">
        <f>IF(OR(ISBLANK(D197),ISBLANK(E197)),IF(OR(B197="ALI",B197="AIE"),"L",IF(OR(B197="EE",B197="SE",B197="CE"),"A","")),IF(B197="EE",IF(E197&gt;=3,IF(D197&gt;=5,"H","A"),IF(E197&gt;=2,IF(D197&gt;=16,"H",IF(D197&lt;=4,"L","A")),IF(D197&lt;=15,"L","A"))),IF(OR(B197="SE",B197="CE"),IF(E197&gt;=4,IF(D197&gt;=6,"H","A"),IF(E197&gt;=2,IF(D197&gt;=20,"H",IF(D197&lt;=5,"L","A")),IF(D197&lt;=19,"L","A"))),IF(OR(B197="ALI",B197="AIE"),IF(E197&gt;=6,IF(D197&gt;=20,"H","A"),IF(E197&gt;=2,IF(D197&gt;=51,"H",IF(D197&lt;=19,"L","A")),IF(D197&lt;=50,"L","A"))),""))))</f>
        <v/>
      </c>
      <c r="J197" s="7">
        <f>CONCATENATE(B197,C197)</f>
        <v/>
      </c>
      <c r="K197" s="9">
        <f>IF(OR(H197="",H197=0),L197,H197)</f>
        <v/>
      </c>
      <c r="L197" s="9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 t="n"/>
      <c r="N197" s="115" t="n"/>
      <c r="O197" s="6" t="n"/>
    </row>
    <row r="198">
      <c r="A198" s="112" t="n"/>
      <c r="B198" s="4" t="n"/>
      <c r="C198" s="4" t="n"/>
      <c r="D198" s="7" t="n"/>
      <c r="E198" s="7" t="n"/>
      <c r="F198" s="8">
        <f>IF(ISBLANK(B198),"",IF(I198="L","Baixa",IF(I198="A","Média",IF(I198="","","Alta"))))</f>
        <v/>
      </c>
      <c r="G198" s="7">
        <f>CONCATENATE(B198,I198)</f>
        <v/>
      </c>
      <c r="H198" s="5">
        <f>IF(ISBLANK(B198),"",IF(B198="ALI",IF(I198="L",7,IF(I198="A",10,15)),IF(B198="AIE",IF(I198="L",5,IF(I198="A",7,10)),IF(B198="SE",IF(I198="L",4,IF(I198="A",5,7)),IF(OR(B198="EE",B198="CE"),IF(I198="L",3,IF(I198="A",4,6)),0)))))</f>
        <v/>
      </c>
      <c r="I198" s="110">
        <f>IF(OR(ISBLANK(D198),ISBLANK(E198)),IF(OR(B198="ALI",B198="AIE"),"L",IF(OR(B198="EE",B198="SE",B198="CE"),"A","")),IF(B198="EE",IF(E198&gt;=3,IF(D198&gt;=5,"H","A"),IF(E198&gt;=2,IF(D198&gt;=16,"H",IF(D198&lt;=4,"L","A")),IF(D198&lt;=15,"L","A"))),IF(OR(B198="SE",B198="CE"),IF(E198&gt;=4,IF(D198&gt;=6,"H","A"),IF(E198&gt;=2,IF(D198&gt;=20,"H",IF(D198&lt;=5,"L","A")),IF(D198&lt;=19,"L","A"))),IF(OR(B198="ALI",B198="AIE"),IF(E198&gt;=6,IF(D198&gt;=20,"H","A"),IF(E198&gt;=2,IF(D198&gt;=51,"H",IF(D198&lt;=19,"L","A")),IF(D198&lt;=50,"L","A"))),""))))</f>
        <v/>
      </c>
      <c r="J198" s="7">
        <f>CONCATENATE(B198,C198)</f>
        <v/>
      </c>
      <c r="K198" s="9">
        <f>IF(OR(H198="",H198=0),L198,H198)</f>
        <v/>
      </c>
      <c r="L198" s="9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 t="n"/>
      <c r="N198" s="115" t="n"/>
      <c r="O198" s="6" t="n"/>
    </row>
    <row r="199">
      <c r="A199" s="112" t="n"/>
      <c r="B199" s="4" t="n"/>
      <c r="C199" s="4" t="n"/>
      <c r="D199" s="7" t="n"/>
      <c r="E199" s="7" t="n"/>
      <c r="F199" s="8">
        <f>IF(ISBLANK(B199),"",IF(I199="L","Baixa",IF(I199="A","Média",IF(I199="","","Alta"))))</f>
        <v/>
      </c>
      <c r="G199" s="7">
        <f>CONCATENATE(B199,I199)</f>
        <v/>
      </c>
      <c r="H199" s="5">
        <f>IF(ISBLANK(B199),"",IF(B199="ALI",IF(I199="L",7,IF(I199="A",10,15)),IF(B199="AIE",IF(I199="L",5,IF(I199="A",7,10)),IF(B199="SE",IF(I199="L",4,IF(I199="A",5,7)),IF(OR(B199="EE",B199="CE"),IF(I199="L",3,IF(I199="A",4,6)),0)))))</f>
        <v/>
      </c>
      <c r="I199" s="110">
        <f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/>
      </c>
      <c r="J199" s="7">
        <f>CONCATENATE(B199,C199)</f>
        <v/>
      </c>
      <c r="K199" s="9">
        <f>IF(OR(H199="",H199=0),L199,H199)</f>
        <v/>
      </c>
      <c r="L199" s="9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 t="n"/>
      <c r="N199" s="115" t="n"/>
      <c r="O199" s="6" t="n"/>
    </row>
    <row r="200">
      <c r="A200" s="112" t="n"/>
      <c r="B200" s="4" t="n"/>
      <c r="C200" s="4" t="n"/>
      <c r="D200" s="7" t="n"/>
      <c r="E200" s="7" t="n"/>
      <c r="F200" s="8">
        <f>IF(ISBLANK(B200),"",IF(I200="L","Baixa",IF(I200="A","Média",IF(I200="","","Alta"))))</f>
        <v/>
      </c>
      <c r="G200" s="7">
        <f>CONCATENATE(B200,I200)</f>
        <v/>
      </c>
      <c r="H200" s="5">
        <f>IF(ISBLANK(B200),"",IF(B200="ALI",IF(I200="L",7,IF(I200="A",10,15)),IF(B200="AIE",IF(I200="L",5,IF(I200="A",7,10)),IF(B200="SE",IF(I200="L",4,IF(I200="A",5,7)),IF(OR(B200="EE",B200="CE"),IF(I200="L",3,IF(I200="A",4,6)),0)))))</f>
        <v/>
      </c>
      <c r="I200" s="110">
        <f>IF(OR(ISBLANK(D200),ISBLANK(E200)),IF(OR(B200="ALI",B200="AIE"),"L",IF(OR(B200="EE",B200="SE",B200="CE"),"A","")),IF(B200="EE",IF(E200&gt;=3,IF(D200&gt;=5,"H","A"),IF(E200&gt;=2,IF(D200&gt;=16,"H",IF(D200&lt;=4,"L","A")),IF(D200&lt;=15,"L","A"))),IF(OR(B200="SE",B200="CE"),IF(E200&gt;=4,IF(D200&gt;=6,"H","A"),IF(E200&gt;=2,IF(D200&gt;=20,"H",IF(D200&lt;=5,"L","A")),IF(D200&lt;=19,"L","A"))),IF(OR(B200="ALI",B200="AIE"),IF(E200&gt;=6,IF(D200&gt;=20,"H","A"),IF(E200&gt;=2,IF(D200&gt;=51,"H",IF(D200&lt;=19,"L","A")),IF(D200&lt;=50,"L","A"))),""))))</f>
        <v/>
      </c>
      <c r="J200" s="7">
        <f>CONCATENATE(B200,C200)</f>
        <v/>
      </c>
      <c r="K200" s="9">
        <f>IF(OR(H200="",H200=0),L200,H200)</f>
        <v/>
      </c>
      <c r="L200" s="9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 t="n"/>
      <c r="N200" s="115" t="n"/>
      <c r="O200" s="6" t="n"/>
    </row>
    <row r="201">
      <c r="A201" s="112" t="n"/>
      <c r="B201" s="4" t="n"/>
      <c r="C201" s="4" t="n"/>
      <c r="D201" s="7" t="n"/>
      <c r="E201" s="7" t="n"/>
      <c r="F201" s="8">
        <f>IF(ISBLANK(B201),"",IF(I201="L","Baixa",IF(I201="A","Média",IF(I201="","","Alta"))))</f>
        <v/>
      </c>
      <c r="G201" s="7">
        <f>CONCATENATE(B201,I201)</f>
        <v/>
      </c>
      <c r="H201" s="5">
        <f>IF(ISBLANK(B201),"",IF(B201="ALI",IF(I201="L",7,IF(I201="A",10,15)),IF(B201="AIE",IF(I201="L",5,IF(I201="A",7,10)),IF(B201="SE",IF(I201="L",4,IF(I201="A",5,7)),IF(OR(B201="EE",B201="CE"),IF(I201="L",3,IF(I201="A",4,6)),0)))))</f>
        <v/>
      </c>
      <c r="I201" s="110">
        <f>IF(OR(ISBLANK(D201),ISBLANK(E201)),IF(OR(B201="ALI",B201="AIE"),"L",IF(OR(B201="EE",B201="SE",B201="CE"),"A","")),IF(B201="EE",IF(E201&gt;=3,IF(D201&gt;=5,"H","A"),IF(E201&gt;=2,IF(D201&gt;=16,"H",IF(D201&lt;=4,"L","A")),IF(D201&lt;=15,"L","A"))),IF(OR(B201="SE",B201="CE"),IF(E201&gt;=4,IF(D201&gt;=6,"H","A"),IF(E201&gt;=2,IF(D201&gt;=20,"H",IF(D201&lt;=5,"L","A")),IF(D201&lt;=19,"L","A"))),IF(OR(B201="ALI",B201="AIE"),IF(E201&gt;=6,IF(D201&gt;=20,"H","A"),IF(E201&gt;=2,IF(D201&gt;=51,"H",IF(D201&lt;=19,"L","A")),IF(D201&lt;=50,"L","A"))),""))))</f>
        <v/>
      </c>
      <c r="J201" s="7">
        <f>CONCATENATE(B201,C201)</f>
        <v/>
      </c>
      <c r="K201" s="9">
        <f>IF(OR(H201="",H201=0),L201,H201)</f>
        <v/>
      </c>
      <c r="L201" s="9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 t="n"/>
      <c r="N201" s="115" t="n"/>
      <c r="O201" s="6" t="n"/>
    </row>
    <row r="202">
      <c r="A202" s="112" t="n"/>
      <c r="B202" s="4" t="n"/>
      <c r="C202" s="4" t="n"/>
      <c r="D202" s="7" t="n"/>
      <c r="E202" s="7" t="n"/>
      <c r="F202" s="8">
        <f>IF(ISBLANK(B202),"",IF(I202="L","Baixa",IF(I202="A","Média",IF(I202="","","Alta"))))</f>
        <v/>
      </c>
      <c r="G202" s="7">
        <f>CONCATENATE(B202,I202)</f>
        <v/>
      </c>
      <c r="H202" s="5">
        <f>IF(ISBLANK(B202),"",IF(B202="ALI",IF(I202="L",7,IF(I202="A",10,15)),IF(B202="AIE",IF(I202="L",5,IF(I202="A",7,10)),IF(B202="SE",IF(I202="L",4,IF(I202="A",5,7)),IF(OR(B202="EE",B202="CE"),IF(I202="L",3,IF(I202="A",4,6)),0)))))</f>
        <v/>
      </c>
      <c r="I202" s="110">
        <f>IF(OR(ISBLANK(D202),ISBLANK(E202)),IF(OR(B202="ALI",B202="AIE"),"L",IF(OR(B202="EE",B202="SE",B202="CE"),"A","")),IF(B202="EE",IF(E202&gt;=3,IF(D202&gt;=5,"H","A"),IF(E202&gt;=2,IF(D202&gt;=16,"H",IF(D202&lt;=4,"L","A")),IF(D202&lt;=15,"L","A"))),IF(OR(B202="SE",B202="CE"),IF(E202&gt;=4,IF(D202&gt;=6,"H","A"),IF(E202&gt;=2,IF(D202&gt;=20,"H",IF(D202&lt;=5,"L","A")),IF(D202&lt;=19,"L","A"))),IF(OR(B202="ALI",B202="AIE"),IF(E202&gt;=6,IF(D202&gt;=20,"H","A"),IF(E202&gt;=2,IF(D202&gt;=51,"H",IF(D202&lt;=19,"L","A")),IF(D202&lt;=50,"L","A"))),""))))</f>
        <v/>
      </c>
      <c r="J202" s="7">
        <f>CONCATENATE(B202,C202)</f>
        <v/>
      </c>
      <c r="K202" s="9">
        <f>IF(OR(H202="",H202=0),L202,H202)</f>
        <v/>
      </c>
      <c r="L202" s="9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 t="n"/>
      <c r="N202" s="115" t="n"/>
      <c r="O202" s="6" t="n"/>
    </row>
    <row r="203">
      <c r="A203" s="112" t="n"/>
      <c r="B203" s="4" t="n"/>
      <c r="C203" s="4" t="n"/>
      <c r="D203" s="7" t="n"/>
      <c r="E203" s="7" t="n"/>
      <c r="F203" s="8">
        <f>IF(ISBLANK(B203),"",IF(I203="L","Baixa",IF(I203="A","Média",IF(I203="","","Alta"))))</f>
        <v/>
      </c>
      <c r="G203" s="7">
        <f>CONCATENATE(B203,I203)</f>
        <v/>
      </c>
      <c r="H203" s="5">
        <f>IF(ISBLANK(B203),"",IF(B203="ALI",IF(I203="L",7,IF(I203="A",10,15)),IF(B203="AIE",IF(I203="L",5,IF(I203="A",7,10)),IF(B203="SE",IF(I203="L",4,IF(I203="A",5,7)),IF(OR(B203="EE",B203="CE"),IF(I203="L",3,IF(I203="A",4,6)),0)))))</f>
        <v/>
      </c>
      <c r="I203" s="110">
        <f>IF(OR(ISBLANK(D203),ISBLANK(E203)),IF(OR(B203="ALI",B203="AIE"),"L",IF(OR(B203="EE",B203="SE",B203="CE"),"A","")),IF(B203="EE",IF(E203&gt;=3,IF(D203&gt;=5,"H","A"),IF(E203&gt;=2,IF(D203&gt;=16,"H",IF(D203&lt;=4,"L","A")),IF(D203&lt;=15,"L","A"))),IF(OR(B203="SE",B203="CE"),IF(E203&gt;=4,IF(D203&gt;=6,"H","A"),IF(E203&gt;=2,IF(D203&gt;=20,"H",IF(D203&lt;=5,"L","A")),IF(D203&lt;=19,"L","A"))),IF(OR(B203="ALI",B203="AIE"),IF(E203&gt;=6,IF(D203&gt;=20,"H","A"),IF(E203&gt;=2,IF(D203&gt;=51,"H",IF(D203&lt;=19,"L","A")),IF(D203&lt;=50,"L","A"))),""))))</f>
        <v/>
      </c>
      <c r="J203" s="7">
        <f>CONCATENATE(B203,C203)</f>
        <v/>
      </c>
      <c r="K203" s="9">
        <f>IF(OR(H203="",H203=0),L203,H203)</f>
        <v/>
      </c>
      <c r="L203" s="9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 t="n"/>
      <c r="N203" s="115" t="n"/>
      <c r="O203" s="6" t="n"/>
    </row>
    <row r="204">
      <c r="A204" s="112" t="n"/>
      <c r="B204" s="4" t="n"/>
      <c r="C204" s="4" t="n"/>
      <c r="D204" s="7" t="n"/>
      <c r="E204" s="7" t="n"/>
      <c r="F204" s="8">
        <f>IF(ISBLANK(B204),"",IF(I204="L","Baixa",IF(I204="A","Média",IF(I204="","","Alta"))))</f>
        <v/>
      </c>
      <c r="G204" s="7">
        <f>CONCATENATE(B204,I204)</f>
        <v/>
      </c>
      <c r="H204" s="5">
        <f>IF(ISBLANK(B204),"",IF(B204="ALI",IF(I204="L",7,IF(I204="A",10,15)),IF(B204="AIE",IF(I204="L",5,IF(I204="A",7,10)),IF(B204="SE",IF(I204="L",4,IF(I204="A",5,7)),IF(OR(B204="EE",B204="CE"),IF(I204="L",3,IF(I204="A",4,6)),0)))))</f>
        <v/>
      </c>
      <c r="I204" s="110">
        <f>IF(OR(ISBLANK(D204),ISBLANK(E204)),IF(OR(B204="ALI",B204="AIE"),"L",IF(OR(B204="EE",B204="SE",B204="CE"),"A","")),IF(B204="EE",IF(E204&gt;=3,IF(D204&gt;=5,"H","A"),IF(E204&gt;=2,IF(D204&gt;=16,"H",IF(D204&lt;=4,"L","A")),IF(D204&lt;=15,"L","A"))),IF(OR(B204="SE",B204="CE"),IF(E204&gt;=4,IF(D204&gt;=6,"H","A"),IF(E204&gt;=2,IF(D204&gt;=20,"H",IF(D204&lt;=5,"L","A")),IF(D204&lt;=19,"L","A"))),IF(OR(B204="ALI",B204="AIE"),IF(E204&gt;=6,IF(D204&gt;=20,"H","A"),IF(E204&gt;=2,IF(D204&gt;=51,"H",IF(D204&lt;=19,"L","A")),IF(D204&lt;=50,"L","A"))),""))))</f>
        <v/>
      </c>
      <c r="J204" s="7">
        <f>CONCATENATE(B204,C204)</f>
        <v/>
      </c>
      <c r="K204" s="9">
        <f>IF(OR(H204="",H204=0),L204,H204)</f>
        <v/>
      </c>
      <c r="L204" s="9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 t="n"/>
      <c r="N204" s="115" t="n"/>
      <c r="O204" s="6" t="n"/>
    </row>
    <row r="205">
      <c r="A205" s="112" t="n"/>
      <c r="B205" s="4" t="n"/>
      <c r="C205" s="4" t="n"/>
      <c r="D205" s="7" t="n"/>
      <c r="E205" s="7" t="n"/>
      <c r="F205" s="8">
        <f>IF(ISBLANK(B205),"",IF(I205="L","Baixa",IF(I205="A","Média",IF(I205="","","Alta"))))</f>
        <v/>
      </c>
      <c r="G205" s="7">
        <f>CONCATENATE(B205,I205)</f>
        <v/>
      </c>
      <c r="H205" s="5">
        <f>IF(ISBLANK(B205),"",IF(B205="ALI",IF(I205="L",7,IF(I205="A",10,15)),IF(B205="AIE",IF(I205="L",5,IF(I205="A",7,10)),IF(B205="SE",IF(I205="L",4,IF(I205="A",5,7)),IF(OR(B205="EE",B205="CE"),IF(I205="L",3,IF(I205="A",4,6)),0)))))</f>
        <v/>
      </c>
      <c r="I205" s="110">
        <f>IF(OR(ISBLANK(D205),ISBLANK(E205)),IF(OR(B205="ALI",B205="AIE"),"L",IF(OR(B205="EE",B205="SE",B205="CE"),"A","")),IF(B205="EE",IF(E205&gt;=3,IF(D205&gt;=5,"H","A"),IF(E205&gt;=2,IF(D205&gt;=16,"H",IF(D205&lt;=4,"L","A")),IF(D205&lt;=15,"L","A"))),IF(OR(B205="SE",B205="CE"),IF(E205&gt;=4,IF(D205&gt;=6,"H","A"),IF(E205&gt;=2,IF(D205&gt;=20,"H",IF(D205&lt;=5,"L","A")),IF(D205&lt;=19,"L","A"))),IF(OR(B205="ALI",B205="AIE"),IF(E205&gt;=6,IF(D205&gt;=20,"H","A"),IF(E205&gt;=2,IF(D205&gt;=51,"H",IF(D205&lt;=19,"L","A")),IF(D205&lt;=50,"L","A"))),""))))</f>
        <v/>
      </c>
      <c r="J205" s="7">
        <f>CONCATENATE(B205,C205)</f>
        <v/>
      </c>
      <c r="K205" s="9">
        <f>IF(OR(H205="",H205=0),L205,H205)</f>
        <v/>
      </c>
      <c r="L205" s="9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 t="n"/>
      <c r="N205" s="115" t="n"/>
      <c r="O205" s="6" t="n"/>
    </row>
    <row r="206">
      <c r="A206" s="112" t="n"/>
      <c r="B206" s="4" t="n"/>
      <c r="C206" s="4" t="n"/>
      <c r="D206" s="7" t="n"/>
      <c r="E206" s="7" t="n"/>
      <c r="F206" s="8">
        <f>IF(ISBLANK(B206),"",IF(I206="L","Baixa",IF(I206="A","Média",IF(I206="","","Alta"))))</f>
        <v/>
      </c>
      <c r="G206" s="7">
        <f>CONCATENATE(B206,I206)</f>
        <v/>
      </c>
      <c r="H206" s="5">
        <f>IF(ISBLANK(B206),"",IF(B206="ALI",IF(I206="L",7,IF(I206="A",10,15)),IF(B206="AIE",IF(I206="L",5,IF(I206="A",7,10)),IF(B206="SE",IF(I206="L",4,IF(I206="A",5,7)),IF(OR(B206="EE",B206="CE"),IF(I206="L",3,IF(I206="A",4,6)),0)))))</f>
        <v/>
      </c>
      <c r="I206" s="110">
        <f>IF(OR(ISBLANK(D206),ISBLANK(E206)),IF(OR(B206="ALI",B206="AIE"),"L",IF(OR(B206="EE",B206="SE",B206="CE"),"A","")),IF(B206="EE",IF(E206&gt;=3,IF(D206&gt;=5,"H","A"),IF(E206&gt;=2,IF(D206&gt;=16,"H",IF(D206&lt;=4,"L","A")),IF(D206&lt;=15,"L","A"))),IF(OR(B206="SE",B206="CE"),IF(E206&gt;=4,IF(D206&gt;=6,"H","A"),IF(E206&gt;=2,IF(D206&gt;=20,"H",IF(D206&lt;=5,"L","A")),IF(D206&lt;=19,"L","A"))),IF(OR(B206="ALI",B206="AIE"),IF(E206&gt;=6,IF(D206&gt;=20,"H","A"),IF(E206&gt;=2,IF(D206&gt;=51,"H",IF(D206&lt;=19,"L","A")),IF(D206&lt;=50,"L","A"))),""))))</f>
        <v/>
      </c>
      <c r="J206" s="7">
        <f>CONCATENATE(B206,C206)</f>
        <v/>
      </c>
      <c r="K206" s="9">
        <f>IF(OR(H206="",H206=0),L206,H206)</f>
        <v/>
      </c>
      <c r="L206" s="9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 t="n"/>
      <c r="N206" s="115" t="n"/>
      <c r="O206" s="6" t="n"/>
    </row>
    <row r="207">
      <c r="A207" s="112" t="n"/>
      <c r="B207" s="4" t="n"/>
      <c r="C207" s="4" t="n"/>
      <c r="D207" s="7" t="n"/>
      <c r="E207" s="7" t="n"/>
      <c r="F207" s="8">
        <f>IF(ISBLANK(B207),"",IF(I207="L","Baixa",IF(I207="A","Média",IF(I207="","","Alta"))))</f>
        <v/>
      </c>
      <c r="G207" s="7">
        <f>CONCATENATE(B207,I207)</f>
        <v/>
      </c>
      <c r="H207" s="5">
        <f>IF(ISBLANK(B207),"",IF(B207="ALI",IF(I207="L",7,IF(I207="A",10,15)),IF(B207="AIE",IF(I207="L",5,IF(I207="A",7,10)),IF(B207="SE",IF(I207="L",4,IF(I207="A",5,7)),IF(OR(B207="EE",B207="CE"),IF(I207="L",3,IF(I207="A",4,6)),0)))))</f>
        <v/>
      </c>
      <c r="I207" s="110">
        <f>IF(OR(ISBLANK(D207),ISBLANK(E207)),IF(OR(B207="ALI",B207="AIE"),"L",IF(OR(B207="EE",B207="SE",B207="CE"),"A","")),IF(B207="EE",IF(E207&gt;=3,IF(D207&gt;=5,"H","A"),IF(E207&gt;=2,IF(D207&gt;=16,"H",IF(D207&lt;=4,"L","A")),IF(D207&lt;=15,"L","A"))),IF(OR(B207="SE",B207="CE"),IF(E207&gt;=4,IF(D207&gt;=6,"H","A"),IF(E207&gt;=2,IF(D207&gt;=20,"H",IF(D207&lt;=5,"L","A")),IF(D207&lt;=19,"L","A"))),IF(OR(B207="ALI",B207="AIE"),IF(E207&gt;=6,IF(D207&gt;=20,"H","A"),IF(E207&gt;=2,IF(D207&gt;=51,"H",IF(D207&lt;=19,"L","A")),IF(D207&lt;=50,"L","A"))),""))))</f>
        <v/>
      </c>
      <c r="J207" s="7">
        <f>CONCATENATE(B207,C207)</f>
        <v/>
      </c>
      <c r="K207" s="9">
        <f>IF(OR(H207="",H207=0),L207,H207)</f>
        <v/>
      </c>
      <c r="L207" s="9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 t="n"/>
      <c r="N207" s="115" t="n"/>
      <c r="O207" s="6" t="n"/>
    </row>
    <row r="208">
      <c r="A208" s="112" t="n"/>
      <c r="B208" s="4" t="n"/>
      <c r="C208" s="4" t="n"/>
      <c r="D208" s="7" t="n"/>
      <c r="E208" s="7" t="n"/>
      <c r="F208" s="8">
        <f>IF(ISBLANK(B208),"",IF(I208="L","Baixa",IF(I208="A","Média",IF(I208="","","Alta"))))</f>
        <v/>
      </c>
      <c r="G208" s="7">
        <f>CONCATENATE(B208,I208)</f>
        <v/>
      </c>
      <c r="H208" s="5">
        <f>IF(ISBLANK(B208),"",IF(B208="ALI",IF(I208="L",7,IF(I208="A",10,15)),IF(B208="AIE",IF(I208="L",5,IF(I208="A",7,10)),IF(B208="SE",IF(I208="L",4,IF(I208="A",5,7)),IF(OR(B208="EE",B208="CE"),IF(I208="L",3,IF(I208="A",4,6)),0)))))</f>
        <v/>
      </c>
      <c r="I208" s="110">
        <f>IF(OR(ISBLANK(D208),ISBLANK(E208)),IF(OR(B208="ALI",B208="AIE"),"L",IF(OR(B208="EE",B208="SE",B208="CE"),"A","")),IF(B208="EE",IF(E208&gt;=3,IF(D208&gt;=5,"H","A"),IF(E208&gt;=2,IF(D208&gt;=16,"H",IF(D208&lt;=4,"L","A")),IF(D208&lt;=15,"L","A"))),IF(OR(B208="SE",B208="CE"),IF(E208&gt;=4,IF(D208&gt;=6,"H","A"),IF(E208&gt;=2,IF(D208&gt;=20,"H",IF(D208&lt;=5,"L","A")),IF(D208&lt;=19,"L","A"))),IF(OR(B208="ALI",B208="AIE"),IF(E208&gt;=6,IF(D208&gt;=20,"H","A"),IF(E208&gt;=2,IF(D208&gt;=51,"H",IF(D208&lt;=19,"L","A")),IF(D208&lt;=50,"L","A"))),""))))</f>
        <v/>
      </c>
      <c r="J208" s="7">
        <f>CONCATENATE(B208,C208)</f>
        <v/>
      </c>
      <c r="K208" s="9">
        <f>IF(OR(H208="",H208=0),L208,H208)</f>
        <v/>
      </c>
      <c r="L208" s="9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 t="n"/>
      <c r="N208" s="115" t="n"/>
      <c r="O208" s="6" t="n"/>
    </row>
    <row r="209">
      <c r="A209" s="112" t="n"/>
      <c r="B209" s="4" t="n"/>
      <c r="C209" s="4" t="n"/>
      <c r="D209" s="7" t="n"/>
      <c r="E209" s="7" t="n"/>
      <c r="F209" s="8">
        <f>IF(ISBLANK(B209),"",IF(I209="L","Baixa",IF(I209="A","Média",IF(I209="","","Alta"))))</f>
        <v/>
      </c>
      <c r="G209" s="7">
        <f>CONCATENATE(B209,I209)</f>
        <v/>
      </c>
      <c r="H209" s="5">
        <f>IF(ISBLANK(B209),"",IF(B209="ALI",IF(I209="L",7,IF(I209="A",10,15)),IF(B209="AIE",IF(I209="L",5,IF(I209="A",7,10)),IF(B209="SE",IF(I209="L",4,IF(I209="A",5,7)),IF(OR(B209="EE",B209="CE"),IF(I209="L",3,IF(I209="A",4,6)),0)))))</f>
        <v/>
      </c>
      <c r="I209" s="110">
        <f>IF(OR(ISBLANK(D209),ISBLANK(E209)),IF(OR(B209="ALI",B209="AIE"),"L",IF(OR(B209="EE",B209="SE",B209="CE"),"A","")),IF(B209="EE",IF(E209&gt;=3,IF(D209&gt;=5,"H","A"),IF(E209&gt;=2,IF(D209&gt;=16,"H",IF(D209&lt;=4,"L","A")),IF(D209&lt;=15,"L","A"))),IF(OR(B209="SE",B209="CE"),IF(E209&gt;=4,IF(D209&gt;=6,"H","A"),IF(E209&gt;=2,IF(D209&gt;=20,"H",IF(D209&lt;=5,"L","A")),IF(D209&lt;=19,"L","A"))),IF(OR(B209="ALI",B209="AIE"),IF(E209&gt;=6,IF(D209&gt;=20,"H","A"),IF(E209&gt;=2,IF(D209&gt;=51,"H",IF(D209&lt;=19,"L","A")),IF(D209&lt;=50,"L","A"))),""))))</f>
        <v/>
      </c>
      <c r="J209" s="7">
        <f>CONCATENATE(B209,C209)</f>
        <v/>
      </c>
      <c r="K209" s="9">
        <f>IF(OR(H209="",H209=0),L209,H209)</f>
        <v/>
      </c>
      <c r="L209" s="9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 t="n"/>
      <c r="N209" s="115" t="n"/>
      <c r="O209" s="6" t="n"/>
    </row>
    <row r="210">
      <c r="A210" s="112" t="n"/>
      <c r="B210" s="4" t="n"/>
      <c r="C210" s="4" t="n"/>
      <c r="D210" s="7" t="n"/>
      <c r="E210" s="7" t="n"/>
      <c r="F210" s="8">
        <f>IF(ISBLANK(B210),"",IF(I210="L","Baixa",IF(I210="A","Média",IF(I210="","","Alta"))))</f>
        <v/>
      </c>
      <c r="G210" s="7">
        <f>CONCATENATE(B210,I210)</f>
        <v/>
      </c>
      <c r="H210" s="5">
        <f>IF(ISBLANK(B210),"",IF(B210="ALI",IF(I210="L",7,IF(I210="A",10,15)),IF(B210="AIE",IF(I210="L",5,IF(I210="A",7,10)),IF(B210="SE",IF(I210="L",4,IF(I210="A",5,7)),IF(OR(B210="EE",B210="CE"),IF(I210="L",3,IF(I210="A",4,6)),0)))))</f>
        <v/>
      </c>
      <c r="I210" s="110">
        <f>IF(OR(ISBLANK(D210),ISBLANK(E210)),IF(OR(B210="ALI",B210="AIE"),"L",IF(OR(B210="EE",B210="SE",B210="CE"),"A","")),IF(B210="EE",IF(E210&gt;=3,IF(D210&gt;=5,"H","A"),IF(E210&gt;=2,IF(D210&gt;=16,"H",IF(D210&lt;=4,"L","A")),IF(D210&lt;=15,"L","A"))),IF(OR(B210="SE",B210="CE"),IF(E210&gt;=4,IF(D210&gt;=6,"H","A"),IF(E210&gt;=2,IF(D210&gt;=20,"H",IF(D210&lt;=5,"L","A")),IF(D210&lt;=19,"L","A"))),IF(OR(B210="ALI",B210="AIE"),IF(E210&gt;=6,IF(D210&gt;=20,"H","A"),IF(E210&gt;=2,IF(D210&gt;=51,"H",IF(D210&lt;=19,"L","A")),IF(D210&lt;=50,"L","A"))),""))))</f>
        <v/>
      </c>
      <c r="J210" s="7">
        <f>CONCATENATE(B210,C210)</f>
        <v/>
      </c>
      <c r="K210" s="9">
        <f>IF(OR(H210="",H210=0),L210,H210)</f>
        <v/>
      </c>
      <c r="L210" s="9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 t="n"/>
      <c r="N210" s="115" t="n"/>
      <c r="O210" s="6" t="n"/>
    </row>
    <row r="211">
      <c r="A211" s="112" t="n"/>
      <c r="B211" s="4" t="n"/>
      <c r="C211" s="4" t="n"/>
      <c r="D211" s="7" t="n"/>
      <c r="E211" s="7" t="n"/>
      <c r="F211" s="8">
        <f>IF(ISBLANK(B211),"",IF(I211="L","Baixa",IF(I211="A","Média",IF(I211="","","Alta"))))</f>
        <v/>
      </c>
      <c r="G211" s="7">
        <f>CONCATENATE(B211,I211)</f>
        <v/>
      </c>
      <c r="H211" s="5">
        <f>IF(ISBLANK(B211),"",IF(B211="ALI",IF(I211="L",7,IF(I211="A",10,15)),IF(B211="AIE",IF(I211="L",5,IF(I211="A",7,10)),IF(B211="SE",IF(I211="L",4,IF(I211="A",5,7)),IF(OR(B211="EE",B211="CE"),IF(I211="L",3,IF(I211="A",4,6)),0)))))</f>
        <v/>
      </c>
      <c r="I211" s="110">
        <f>IF(OR(ISBLANK(D211),ISBLANK(E211)),IF(OR(B211="ALI",B211="AIE"),"L",IF(OR(B211="EE",B211="SE",B211="CE"),"A","")),IF(B211="EE",IF(E211&gt;=3,IF(D211&gt;=5,"H","A"),IF(E211&gt;=2,IF(D211&gt;=16,"H",IF(D211&lt;=4,"L","A")),IF(D211&lt;=15,"L","A"))),IF(OR(B211="SE",B211="CE"),IF(E211&gt;=4,IF(D211&gt;=6,"H","A"),IF(E211&gt;=2,IF(D211&gt;=20,"H",IF(D211&lt;=5,"L","A")),IF(D211&lt;=19,"L","A"))),IF(OR(B211="ALI",B211="AIE"),IF(E211&gt;=6,IF(D211&gt;=20,"H","A"),IF(E211&gt;=2,IF(D211&gt;=51,"H",IF(D211&lt;=19,"L","A")),IF(D211&lt;=50,"L","A"))),""))))</f>
        <v/>
      </c>
      <c r="J211" s="7">
        <f>CONCATENATE(B211,C211)</f>
        <v/>
      </c>
      <c r="K211" s="9">
        <f>IF(OR(H211="",H211=0),L211,H211)</f>
        <v/>
      </c>
      <c r="L211" s="9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 t="n"/>
      <c r="N211" s="115" t="n"/>
      <c r="O211" s="6" t="n"/>
    </row>
    <row r="212">
      <c r="A212" s="112" t="n"/>
      <c r="B212" s="4" t="n"/>
      <c r="C212" s="4" t="n"/>
      <c r="D212" s="7" t="n"/>
      <c r="E212" s="7" t="n"/>
      <c r="F212" s="8">
        <f>IF(ISBLANK(B212),"",IF(I212="L","Baixa",IF(I212="A","Média",IF(I212="","","Alta"))))</f>
        <v/>
      </c>
      <c r="G212" s="7">
        <f>CONCATENATE(B212,I212)</f>
        <v/>
      </c>
      <c r="H212" s="5">
        <f>IF(ISBLANK(B212),"",IF(B212="ALI",IF(I212="L",7,IF(I212="A",10,15)),IF(B212="AIE",IF(I212="L",5,IF(I212="A",7,10)),IF(B212="SE",IF(I212="L",4,IF(I212="A",5,7)),IF(OR(B212="EE",B212="CE"),IF(I212="L",3,IF(I212="A",4,6)),0)))))</f>
        <v/>
      </c>
      <c r="I212" s="110">
        <f>IF(OR(ISBLANK(D212),ISBLANK(E212)),IF(OR(B212="ALI",B212="AIE"),"L",IF(OR(B212="EE",B212="SE",B212="CE"),"A","")),IF(B212="EE",IF(E212&gt;=3,IF(D212&gt;=5,"H","A"),IF(E212&gt;=2,IF(D212&gt;=16,"H",IF(D212&lt;=4,"L","A")),IF(D212&lt;=15,"L","A"))),IF(OR(B212="SE",B212="CE"),IF(E212&gt;=4,IF(D212&gt;=6,"H","A"),IF(E212&gt;=2,IF(D212&gt;=20,"H",IF(D212&lt;=5,"L","A")),IF(D212&lt;=19,"L","A"))),IF(OR(B212="ALI",B212="AIE"),IF(E212&gt;=6,IF(D212&gt;=20,"H","A"),IF(E212&gt;=2,IF(D212&gt;=51,"H",IF(D212&lt;=19,"L","A")),IF(D212&lt;=50,"L","A"))),""))))</f>
        <v/>
      </c>
      <c r="J212" s="7">
        <f>CONCATENATE(B212,C212)</f>
        <v/>
      </c>
      <c r="K212" s="9">
        <f>IF(OR(H212="",H212=0),L212,H212)</f>
        <v/>
      </c>
      <c r="L212" s="9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 t="n"/>
      <c r="N212" s="115" t="n"/>
      <c r="O212" s="6" t="n"/>
    </row>
    <row r="213">
      <c r="A213" s="112" t="n"/>
      <c r="B213" s="4" t="n"/>
      <c r="C213" s="4" t="n"/>
      <c r="D213" s="7" t="n"/>
      <c r="E213" s="7" t="n"/>
      <c r="F213" s="8">
        <f>IF(ISBLANK(B213),"",IF(I213="L","Baixa",IF(I213="A","Média",IF(I213="","","Alta"))))</f>
        <v/>
      </c>
      <c r="G213" s="7">
        <f>CONCATENATE(B213,I213)</f>
        <v/>
      </c>
      <c r="H213" s="5">
        <f>IF(ISBLANK(B213),"",IF(B213="ALI",IF(I213="L",7,IF(I213="A",10,15)),IF(B213="AIE",IF(I213="L",5,IF(I213="A",7,10)),IF(B213="SE",IF(I213="L",4,IF(I213="A",5,7)),IF(OR(B213="EE",B213="CE"),IF(I213="L",3,IF(I213="A",4,6)),0)))))</f>
        <v/>
      </c>
      <c r="I213" s="110">
        <f>IF(OR(ISBLANK(D213),ISBLANK(E213)),IF(OR(B213="ALI",B213="AIE"),"L",IF(OR(B213="EE",B213="SE",B213="CE"),"A","")),IF(B213="EE",IF(E213&gt;=3,IF(D213&gt;=5,"H","A"),IF(E213&gt;=2,IF(D213&gt;=16,"H",IF(D213&lt;=4,"L","A")),IF(D213&lt;=15,"L","A"))),IF(OR(B213="SE",B213="CE"),IF(E213&gt;=4,IF(D213&gt;=6,"H","A"),IF(E213&gt;=2,IF(D213&gt;=20,"H",IF(D213&lt;=5,"L","A")),IF(D213&lt;=19,"L","A"))),IF(OR(B213="ALI",B213="AIE"),IF(E213&gt;=6,IF(D213&gt;=20,"H","A"),IF(E213&gt;=2,IF(D213&gt;=51,"H",IF(D213&lt;=19,"L","A")),IF(D213&lt;=50,"L","A"))),""))))</f>
        <v/>
      </c>
      <c r="J213" s="7">
        <f>CONCATENATE(B213,C213)</f>
        <v/>
      </c>
      <c r="K213" s="9">
        <f>IF(OR(H213="",H213=0),L213,H213)</f>
        <v/>
      </c>
      <c r="L213" s="9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 t="n"/>
      <c r="N213" s="115" t="n"/>
      <c r="O213" s="6" t="n"/>
    </row>
    <row r="214">
      <c r="A214" s="112" t="n"/>
      <c r="B214" s="4" t="n"/>
      <c r="C214" s="4" t="n"/>
      <c r="D214" s="7" t="n"/>
      <c r="E214" s="7" t="n"/>
      <c r="F214" s="8">
        <f>IF(ISBLANK(B214),"",IF(I214="L","Baixa",IF(I214="A","Média",IF(I214="","","Alta"))))</f>
        <v/>
      </c>
      <c r="G214" s="7">
        <f>CONCATENATE(B214,I214)</f>
        <v/>
      </c>
      <c r="H214" s="5">
        <f>IF(ISBLANK(B214),"",IF(B214="ALI",IF(I214="L",7,IF(I214="A",10,15)),IF(B214="AIE",IF(I214="L",5,IF(I214="A",7,10)),IF(B214="SE",IF(I214="L",4,IF(I214="A",5,7)),IF(OR(B214="EE",B214="CE"),IF(I214="L",3,IF(I214="A",4,6)),0)))))</f>
        <v/>
      </c>
      <c r="I214" s="110">
        <f>IF(OR(ISBLANK(D214),ISBLANK(E214)),IF(OR(B214="ALI",B214="AIE"),"L",IF(OR(B214="EE",B214="SE",B214="CE"),"A","")),IF(B214="EE",IF(E214&gt;=3,IF(D214&gt;=5,"H","A"),IF(E214&gt;=2,IF(D214&gt;=16,"H",IF(D214&lt;=4,"L","A")),IF(D214&lt;=15,"L","A"))),IF(OR(B214="SE",B214="CE"),IF(E214&gt;=4,IF(D214&gt;=6,"H","A"),IF(E214&gt;=2,IF(D214&gt;=20,"H",IF(D214&lt;=5,"L","A")),IF(D214&lt;=19,"L","A"))),IF(OR(B214="ALI",B214="AIE"),IF(E214&gt;=6,IF(D214&gt;=20,"H","A"),IF(E214&gt;=2,IF(D214&gt;=51,"H",IF(D214&lt;=19,"L","A")),IF(D214&lt;=50,"L","A"))),""))))</f>
        <v/>
      </c>
      <c r="J214" s="7">
        <f>CONCATENATE(B214,C214)</f>
        <v/>
      </c>
      <c r="K214" s="9">
        <f>IF(OR(H214="",H214=0),L214,H214)</f>
        <v/>
      </c>
      <c r="L214" s="9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 t="n"/>
      <c r="N214" s="115" t="n"/>
      <c r="O214" s="6" t="n"/>
    </row>
    <row r="215">
      <c r="A215" s="112" t="n"/>
      <c r="B215" s="4" t="n"/>
      <c r="C215" s="4" t="n"/>
      <c r="D215" s="7" t="n"/>
      <c r="E215" s="7" t="n"/>
      <c r="F215" s="8">
        <f>IF(ISBLANK(B215),"",IF(I215="L","Baixa",IF(I215="A","Média",IF(I215="","","Alta"))))</f>
        <v/>
      </c>
      <c r="G215" s="7">
        <f>CONCATENATE(B215,I215)</f>
        <v/>
      </c>
      <c r="H215" s="5">
        <f>IF(ISBLANK(B215),"",IF(B215="ALI",IF(I215="L",7,IF(I215="A",10,15)),IF(B215="AIE",IF(I215="L",5,IF(I215="A",7,10)),IF(B215="SE",IF(I215="L",4,IF(I215="A",5,7)),IF(OR(B215="EE",B215="CE"),IF(I215="L",3,IF(I215="A",4,6)),0)))))</f>
        <v/>
      </c>
      <c r="I215" s="110">
        <f>IF(OR(ISBLANK(D215),ISBLANK(E215)),IF(OR(B215="ALI",B215="AIE"),"L",IF(OR(B215="EE",B215="SE",B215="CE"),"A","")),IF(B215="EE",IF(E215&gt;=3,IF(D215&gt;=5,"H","A"),IF(E215&gt;=2,IF(D215&gt;=16,"H",IF(D215&lt;=4,"L","A")),IF(D215&lt;=15,"L","A"))),IF(OR(B215="SE",B215="CE"),IF(E215&gt;=4,IF(D215&gt;=6,"H","A"),IF(E215&gt;=2,IF(D215&gt;=20,"H",IF(D215&lt;=5,"L","A")),IF(D215&lt;=19,"L","A"))),IF(OR(B215="ALI",B215="AIE"),IF(E215&gt;=6,IF(D215&gt;=20,"H","A"),IF(E215&gt;=2,IF(D215&gt;=51,"H",IF(D215&lt;=19,"L","A")),IF(D215&lt;=50,"L","A"))),""))))</f>
        <v/>
      </c>
      <c r="J215" s="7">
        <f>CONCATENATE(B215,C215)</f>
        <v/>
      </c>
      <c r="K215" s="9">
        <f>IF(OR(H215="",H215=0),L215,H215)</f>
        <v/>
      </c>
      <c r="L215" s="9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 t="n"/>
      <c r="N215" s="115" t="n"/>
      <c r="O215" s="6" t="n"/>
    </row>
    <row r="216">
      <c r="A216" s="112" t="n"/>
      <c r="B216" s="4" t="n"/>
      <c r="C216" s="4" t="n"/>
      <c r="D216" s="7" t="n"/>
      <c r="E216" s="7" t="n"/>
      <c r="F216" s="8">
        <f>IF(ISBLANK(B216),"",IF(I216="L","Baixa",IF(I216="A","Média",IF(I216="","","Alta"))))</f>
        <v/>
      </c>
      <c r="G216" s="7">
        <f>CONCATENATE(B216,I216)</f>
        <v/>
      </c>
      <c r="H216" s="5">
        <f>IF(ISBLANK(B216),"",IF(B216="ALI",IF(I216="L",7,IF(I216="A",10,15)),IF(B216="AIE",IF(I216="L",5,IF(I216="A",7,10)),IF(B216="SE",IF(I216="L",4,IF(I216="A",5,7)),IF(OR(B216="EE",B216="CE"),IF(I216="L",3,IF(I216="A",4,6)),0)))))</f>
        <v/>
      </c>
      <c r="I216" s="110">
        <f>IF(OR(ISBLANK(D216),ISBLANK(E216)),IF(OR(B216="ALI",B216="AIE"),"L",IF(OR(B216="EE",B216="SE",B216="CE"),"A","")),IF(B216="EE",IF(E216&gt;=3,IF(D216&gt;=5,"H","A"),IF(E216&gt;=2,IF(D216&gt;=16,"H",IF(D216&lt;=4,"L","A")),IF(D216&lt;=15,"L","A"))),IF(OR(B216="SE",B216="CE"),IF(E216&gt;=4,IF(D216&gt;=6,"H","A"),IF(E216&gt;=2,IF(D216&gt;=20,"H",IF(D216&lt;=5,"L","A")),IF(D216&lt;=19,"L","A"))),IF(OR(B216="ALI",B216="AIE"),IF(E216&gt;=6,IF(D216&gt;=20,"H","A"),IF(E216&gt;=2,IF(D216&gt;=51,"H",IF(D216&lt;=19,"L","A")),IF(D216&lt;=50,"L","A"))),""))))</f>
        <v/>
      </c>
      <c r="J216" s="7">
        <f>CONCATENATE(B216,C216)</f>
        <v/>
      </c>
      <c r="K216" s="9">
        <f>IF(OR(H216="",H216=0),L216,H216)</f>
        <v/>
      </c>
      <c r="L216" s="9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 t="n"/>
      <c r="N216" s="115" t="n"/>
      <c r="O216" s="6" t="n"/>
    </row>
    <row r="217">
      <c r="A217" s="112" t="n"/>
      <c r="B217" s="4" t="n"/>
      <c r="C217" s="4" t="n"/>
      <c r="D217" s="7" t="n"/>
      <c r="E217" s="7" t="n"/>
      <c r="F217" s="8">
        <f>IF(ISBLANK(B217),"",IF(I217="L","Baixa",IF(I217="A","Média",IF(I217="","","Alta"))))</f>
        <v/>
      </c>
      <c r="G217" s="7">
        <f>CONCATENATE(B217,I217)</f>
        <v/>
      </c>
      <c r="H217" s="5">
        <f>IF(ISBLANK(B217),"",IF(B217="ALI",IF(I217="L",7,IF(I217="A",10,15)),IF(B217="AIE",IF(I217="L",5,IF(I217="A",7,10)),IF(B217="SE",IF(I217="L",4,IF(I217="A",5,7)),IF(OR(B217="EE",B217="CE"),IF(I217="L",3,IF(I217="A",4,6)),0)))))</f>
        <v/>
      </c>
      <c r="I217" s="110">
        <f>IF(OR(ISBLANK(D217),ISBLANK(E217)),IF(OR(B217="ALI",B217="AIE"),"L",IF(OR(B217="EE",B217="SE",B217="CE"),"A","")),IF(B217="EE",IF(E217&gt;=3,IF(D217&gt;=5,"H","A"),IF(E217&gt;=2,IF(D217&gt;=16,"H",IF(D217&lt;=4,"L","A")),IF(D217&lt;=15,"L","A"))),IF(OR(B217="SE",B217="CE"),IF(E217&gt;=4,IF(D217&gt;=6,"H","A"),IF(E217&gt;=2,IF(D217&gt;=20,"H",IF(D217&lt;=5,"L","A")),IF(D217&lt;=19,"L","A"))),IF(OR(B217="ALI",B217="AIE"),IF(E217&gt;=6,IF(D217&gt;=20,"H","A"),IF(E217&gt;=2,IF(D217&gt;=51,"H",IF(D217&lt;=19,"L","A")),IF(D217&lt;=50,"L","A"))),""))))</f>
        <v/>
      </c>
      <c r="J217" s="7">
        <f>CONCATENATE(B217,C217)</f>
        <v/>
      </c>
      <c r="K217" s="9">
        <f>IF(OR(H217="",H217=0),L217,H217)</f>
        <v/>
      </c>
      <c r="L217" s="9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 t="n"/>
      <c r="N217" s="115" t="n"/>
      <c r="O217" s="6" t="n"/>
    </row>
    <row r="218">
      <c r="A218" s="112" t="n"/>
      <c r="B218" s="4" t="n"/>
      <c r="C218" s="4" t="n"/>
      <c r="D218" s="7" t="n"/>
      <c r="E218" s="7" t="n"/>
      <c r="F218" s="8">
        <f>IF(ISBLANK(B218),"",IF(I218="L","Baixa",IF(I218="A","Média",IF(I218="","","Alta"))))</f>
        <v/>
      </c>
      <c r="G218" s="7">
        <f>CONCATENATE(B218,I218)</f>
        <v/>
      </c>
      <c r="H218" s="5">
        <f>IF(ISBLANK(B218),"",IF(B218="ALI",IF(I218="L",7,IF(I218="A",10,15)),IF(B218="AIE",IF(I218="L",5,IF(I218="A",7,10)),IF(B218="SE",IF(I218="L",4,IF(I218="A",5,7)),IF(OR(B218="EE",B218="CE"),IF(I218="L",3,IF(I218="A",4,6)),0)))))</f>
        <v/>
      </c>
      <c r="I218" s="110">
        <f>IF(OR(ISBLANK(D218),ISBLANK(E218)),IF(OR(B218="ALI",B218="AIE"),"L",IF(OR(B218="EE",B218="SE",B218="CE"),"A","")),IF(B218="EE",IF(E218&gt;=3,IF(D218&gt;=5,"H","A"),IF(E218&gt;=2,IF(D218&gt;=16,"H",IF(D218&lt;=4,"L","A")),IF(D218&lt;=15,"L","A"))),IF(OR(B218="SE",B218="CE"),IF(E218&gt;=4,IF(D218&gt;=6,"H","A"),IF(E218&gt;=2,IF(D218&gt;=20,"H",IF(D218&lt;=5,"L","A")),IF(D218&lt;=19,"L","A"))),IF(OR(B218="ALI",B218="AIE"),IF(E218&gt;=6,IF(D218&gt;=20,"H","A"),IF(E218&gt;=2,IF(D218&gt;=51,"H",IF(D218&lt;=19,"L","A")),IF(D218&lt;=50,"L","A"))),""))))</f>
        <v/>
      </c>
      <c r="J218" s="7">
        <f>CONCATENATE(B218,C218)</f>
        <v/>
      </c>
      <c r="K218" s="9">
        <f>IF(OR(H218="",H218=0),L218,H218)</f>
        <v/>
      </c>
      <c r="L218" s="9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 t="n"/>
      <c r="N218" s="115" t="n"/>
      <c r="O218" s="6" t="n"/>
    </row>
    <row r="219">
      <c r="A219" s="112" t="n"/>
      <c r="B219" s="4" t="n"/>
      <c r="C219" s="4" t="n"/>
      <c r="D219" s="7" t="n"/>
      <c r="E219" s="7" t="n"/>
      <c r="F219" s="8">
        <f>IF(ISBLANK(B219),"",IF(I219="L","Baixa",IF(I219="A","Média",IF(I219="","","Alta"))))</f>
        <v/>
      </c>
      <c r="G219" s="7">
        <f>CONCATENATE(B219,I219)</f>
        <v/>
      </c>
      <c r="H219" s="5">
        <f>IF(ISBLANK(B219),"",IF(B219="ALI",IF(I219="L",7,IF(I219="A",10,15)),IF(B219="AIE",IF(I219="L",5,IF(I219="A",7,10)),IF(B219="SE",IF(I219="L",4,IF(I219="A",5,7)),IF(OR(B219="EE",B219="CE"),IF(I219="L",3,IF(I219="A",4,6)),0)))))</f>
        <v/>
      </c>
      <c r="I219" s="110">
        <f>IF(OR(ISBLANK(D219),ISBLANK(E219)),IF(OR(B219="ALI",B219="AIE"),"L",IF(OR(B219="EE",B219="SE",B219="CE"),"A","")),IF(B219="EE",IF(E219&gt;=3,IF(D219&gt;=5,"H","A"),IF(E219&gt;=2,IF(D219&gt;=16,"H",IF(D219&lt;=4,"L","A")),IF(D219&lt;=15,"L","A"))),IF(OR(B219="SE",B219="CE"),IF(E219&gt;=4,IF(D219&gt;=6,"H","A"),IF(E219&gt;=2,IF(D219&gt;=20,"H",IF(D219&lt;=5,"L","A")),IF(D219&lt;=19,"L","A"))),IF(OR(B219="ALI",B219="AIE"),IF(E219&gt;=6,IF(D219&gt;=20,"H","A"),IF(E219&gt;=2,IF(D219&gt;=51,"H",IF(D219&lt;=19,"L","A")),IF(D219&lt;=50,"L","A"))),""))))</f>
        <v/>
      </c>
      <c r="J219" s="7">
        <f>CONCATENATE(B219,C219)</f>
        <v/>
      </c>
      <c r="K219" s="9">
        <f>IF(OR(H219="",H219=0),L219,H219)</f>
        <v/>
      </c>
      <c r="L219" s="9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 t="n"/>
      <c r="N219" s="115" t="n"/>
      <c r="O219" s="6" t="n"/>
    </row>
    <row r="220">
      <c r="A220" s="112" t="n"/>
      <c r="B220" s="4" t="n"/>
      <c r="C220" s="4" t="n"/>
      <c r="D220" s="7" t="n"/>
      <c r="E220" s="7" t="n"/>
      <c r="F220" s="8">
        <f>IF(ISBLANK(B220),"",IF(I220="L","Baixa",IF(I220="A","Média",IF(I220="","","Alta"))))</f>
        <v/>
      </c>
      <c r="G220" s="7">
        <f>CONCATENATE(B220,I220)</f>
        <v/>
      </c>
      <c r="H220" s="5">
        <f>IF(ISBLANK(B220),"",IF(B220="ALI",IF(I220="L",7,IF(I220="A",10,15)),IF(B220="AIE",IF(I220="L",5,IF(I220="A",7,10)),IF(B220="SE",IF(I220="L",4,IF(I220="A",5,7)),IF(OR(B220="EE",B220="CE"),IF(I220="L",3,IF(I220="A",4,6)),0)))))</f>
        <v/>
      </c>
      <c r="I220" s="110">
        <f>IF(OR(ISBLANK(D220),ISBLANK(E220)),IF(OR(B220="ALI",B220="AIE"),"L",IF(OR(B220="EE",B220="SE",B220="CE"),"A","")),IF(B220="EE",IF(E220&gt;=3,IF(D220&gt;=5,"H","A"),IF(E220&gt;=2,IF(D220&gt;=16,"H",IF(D220&lt;=4,"L","A")),IF(D220&lt;=15,"L","A"))),IF(OR(B220="SE",B220="CE"),IF(E220&gt;=4,IF(D220&gt;=6,"H","A"),IF(E220&gt;=2,IF(D220&gt;=20,"H",IF(D220&lt;=5,"L","A")),IF(D220&lt;=19,"L","A"))),IF(OR(B220="ALI",B220="AIE"),IF(E220&gt;=6,IF(D220&gt;=20,"H","A"),IF(E220&gt;=2,IF(D220&gt;=51,"H",IF(D220&lt;=19,"L","A")),IF(D220&lt;=50,"L","A"))),""))))</f>
        <v/>
      </c>
      <c r="J220" s="7">
        <f>CONCATENATE(B220,C220)</f>
        <v/>
      </c>
      <c r="K220" s="9">
        <f>IF(OR(H220="",H220=0),L220,H220)</f>
        <v/>
      </c>
      <c r="L220" s="9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 t="n"/>
      <c r="N220" s="115" t="n"/>
      <c r="O220" s="6" t="n"/>
    </row>
    <row r="221">
      <c r="A221" s="112" t="n"/>
      <c r="B221" s="4" t="n"/>
      <c r="C221" s="4" t="n"/>
      <c r="D221" s="7" t="n"/>
      <c r="E221" s="7" t="n"/>
      <c r="F221" s="8">
        <f>IF(ISBLANK(B221),"",IF(I221="L","Baixa",IF(I221="A","Média",IF(I221="","","Alta"))))</f>
        <v/>
      </c>
      <c r="G221" s="7">
        <f>CONCATENATE(B221,I221)</f>
        <v/>
      </c>
      <c r="H221" s="5">
        <f>IF(ISBLANK(B221),"",IF(B221="ALI",IF(I221="L",7,IF(I221="A",10,15)),IF(B221="AIE",IF(I221="L",5,IF(I221="A",7,10)),IF(B221="SE",IF(I221="L",4,IF(I221="A",5,7)),IF(OR(B221="EE",B221="CE"),IF(I221="L",3,IF(I221="A",4,6)),0)))))</f>
        <v/>
      </c>
      <c r="I221" s="110">
        <f>IF(OR(ISBLANK(D221),ISBLANK(E221)),IF(OR(B221="ALI",B221="AIE"),"L",IF(OR(B221="EE",B221="SE",B221="CE"),"A","")),IF(B221="EE",IF(E221&gt;=3,IF(D221&gt;=5,"H","A"),IF(E221&gt;=2,IF(D221&gt;=16,"H",IF(D221&lt;=4,"L","A")),IF(D221&lt;=15,"L","A"))),IF(OR(B221="SE",B221="CE"),IF(E221&gt;=4,IF(D221&gt;=6,"H","A"),IF(E221&gt;=2,IF(D221&gt;=20,"H",IF(D221&lt;=5,"L","A")),IF(D221&lt;=19,"L","A"))),IF(OR(B221="ALI",B221="AIE"),IF(E221&gt;=6,IF(D221&gt;=20,"H","A"),IF(E221&gt;=2,IF(D221&gt;=51,"H",IF(D221&lt;=19,"L","A")),IF(D221&lt;=50,"L","A"))),""))))</f>
        <v/>
      </c>
      <c r="J221" s="7">
        <f>CONCATENATE(B221,C221)</f>
        <v/>
      </c>
      <c r="K221" s="9">
        <f>IF(OR(H221="",H221=0),L221,H221)</f>
        <v/>
      </c>
      <c r="L221" s="9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 t="n"/>
      <c r="N221" s="115" t="n"/>
      <c r="O221" s="6" t="n"/>
    </row>
    <row r="222">
      <c r="A222" s="112" t="n"/>
      <c r="B222" s="4" t="n"/>
      <c r="C222" s="4" t="n"/>
      <c r="D222" s="7" t="n"/>
      <c r="E222" s="7" t="n"/>
      <c r="F222" s="8">
        <f>IF(ISBLANK(B222),"",IF(I222="L","Baixa",IF(I222="A","Média",IF(I222="","","Alta"))))</f>
        <v/>
      </c>
      <c r="G222" s="7">
        <f>CONCATENATE(B222,I222)</f>
        <v/>
      </c>
      <c r="H222" s="5">
        <f>IF(ISBLANK(B222),"",IF(B222="ALI",IF(I222="L",7,IF(I222="A",10,15)),IF(B222="AIE",IF(I222="L",5,IF(I222="A",7,10)),IF(B222="SE",IF(I222="L",4,IF(I222="A",5,7)),IF(OR(B222="EE",B222="CE"),IF(I222="L",3,IF(I222="A",4,6)),0)))))</f>
        <v/>
      </c>
      <c r="I222" s="110">
        <f>IF(OR(ISBLANK(D222),ISBLANK(E222)),IF(OR(B222="ALI",B222="AIE"),"L",IF(OR(B222="EE",B222="SE",B222="CE"),"A","")),IF(B222="EE",IF(E222&gt;=3,IF(D222&gt;=5,"H","A"),IF(E222&gt;=2,IF(D222&gt;=16,"H",IF(D222&lt;=4,"L","A")),IF(D222&lt;=15,"L","A"))),IF(OR(B222="SE",B222="CE"),IF(E222&gt;=4,IF(D222&gt;=6,"H","A"),IF(E222&gt;=2,IF(D222&gt;=20,"H",IF(D222&lt;=5,"L","A")),IF(D222&lt;=19,"L","A"))),IF(OR(B222="ALI",B222="AIE"),IF(E222&gt;=6,IF(D222&gt;=20,"H","A"),IF(E222&gt;=2,IF(D222&gt;=51,"H",IF(D222&lt;=19,"L","A")),IF(D222&lt;=50,"L","A"))),""))))</f>
        <v/>
      </c>
      <c r="J222" s="7">
        <f>CONCATENATE(B222,C222)</f>
        <v/>
      </c>
      <c r="K222" s="9">
        <f>IF(OR(H222="",H222=0),L222,H222)</f>
        <v/>
      </c>
      <c r="L222" s="9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 t="n"/>
      <c r="N222" s="115" t="n"/>
      <c r="O222" s="6" t="n"/>
    </row>
    <row r="223">
      <c r="A223" s="112" t="n"/>
      <c r="B223" s="4" t="n"/>
      <c r="C223" s="4" t="n"/>
      <c r="D223" s="7" t="n"/>
      <c r="E223" s="7" t="n"/>
      <c r="F223" s="8">
        <f>IF(ISBLANK(B223),"",IF(I223="L","Baixa",IF(I223="A","Média",IF(I223="","","Alta"))))</f>
        <v/>
      </c>
      <c r="G223" s="7">
        <f>CONCATENATE(B223,I223)</f>
        <v/>
      </c>
      <c r="H223" s="5">
        <f>IF(ISBLANK(B223),"",IF(B223="ALI",IF(I223="L",7,IF(I223="A",10,15)),IF(B223="AIE",IF(I223="L",5,IF(I223="A",7,10)),IF(B223="SE",IF(I223="L",4,IF(I223="A",5,7)),IF(OR(B223="EE",B223="CE"),IF(I223="L",3,IF(I223="A",4,6)),0)))))</f>
        <v/>
      </c>
      <c r="I223" s="110">
        <f>IF(OR(ISBLANK(D223),ISBLANK(E223)),IF(OR(B223="ALI",B223="AIE"),"L",IF(OR(B223="EE",B223="SE",B223="CE"),"A","")),IF(B223="EE",IF(E223&gt;=3,IF(D223&gt;=5,"H","A"),IF(E223&gt;=2,IF(D223&gt;=16,"H",IF(D223&lt;=4,"L","A")),IF(D223&lt;=15,"L","A"))),IF(OR(B223="SE",B223="CE"),IF(E223&gt;=4,IF(D223&gt;=6,"H","A"),IF(E223&gt;=2,IF(D223&gt;=20,"H",IF(D223&lt;=5,"L","A")),IF(D223&lt;=19,"L","A"))),IF(OR(B223="ALI",B223="AIE"),IF(E223&gt;=6,IF(D223&gt;=20,"H","A"),IF(E223&gt;=2,IF(D223&gt;=51,"H",IF(D223&lt;=19,"L","A")),IF(D223&lt;=50,"L","A"))),""))))</f>
        <v/>
      </c>
      <c r="J223" s="7">
        <f>CONCATENATE(B223,C223)</f>
        <v/>
      </c>
      <c r="K223" s="9">
        <f>IF(OR(H223="",H223=0),L223,H223)</f>
        <v/>
      </c>
      <c r="L223" s="9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 t="n"/>
      <c r="N223" s="115" t="n"/>
      <c r="O223" s="6" t="n"/>
    </row>
    <row r="224">
      <c r="A224" s="112" t="n"/>
      <c r="B224" s="4" t="n"/>
      <c r="C224" s="4" t="n"/>
      <c r="D224" s="7" t="n"/>
      <c r="E224" s="7" t="n"/>
      <c r="F224" s="8">
        <f>IF(ISBLANK(B224),"",IF(I224="L","Baixa",IF(I224="A","Média",IF(I224="","","Alta"))))</f>
        <v/>
      </c>
      <c r="G224" s="7">
        <f>CONCATENATE(B224,I224)</f>
        <v/>
      </c>
      <c r="H224" s="5">
        <f>IF(ISBLANK(B224),"",IF(B224="ALI",IF(I224="L",7,IF(I224="A",10,15)),IF(B224="AIE",IF(I224="L",5,IF(I224="A",7,10)),IF(B224="SE",IF(I224="L",4,IF(I224="A",5,7)),IF(OR(B224="EE",B224="CE"),IF(I224="L",3,IF(I224="A",4,6)),0)))))</f>
        <v/>
      </c>
      <c r="I224" s="110">
        <f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/>
      </c>
      <c r="J224" s="7">
        <f>CONCATENATE(B224,C224)</f>
        <v/>
      </c>
      <c r="K224" s="9">
        <f>IF(OR(H224="",H224=0),L224,H224)</f>
        <v/>
      </c>
      <c r="L224" s="9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 t="n"/>
      <c r="N224" s="115" t="n"/>
      <c r="O224" s="6" t="n"/>
    </row>
    <row r="225">
      <c r="A225" s="112" t="n"/>
      <c r="B225" s="4" t="n"/>
      <c r="C225" s="4" t="n"/>
      <c r="D225" s="7" t="n"/>
      <c r="E225" s="7" t="n"/>
      <c r="F225" s="8">
        <f>IF(ISBLANK(B225),"",IF(I225="L","Baixa",IF(I225="A","Média",IF(I225="","","Alta"))))</f>
        <v/>
      </c>
      <c r="G225" s="7">
        <f>CONCATENATE(B225,I225)</f>
        <v/>
      </c>
      <c r="H225" s="5">
        <f>IF(ISBLANK(B225),"",IF(B225="ALI",IF(I225="L",7,IF(I225="A",10,15)),IF(B225="AIE",IF(I225="L",5,IF(I225="A",7,10)),IF(B225="SE",IF(I225="L",4,IF(I225="A",5,7)),IF(OR(B225="EE",B225="CE"),IF(I225="L",3,IF(I225="A",4,6)),0)))))</f>
        <v/>
      </c>
      <c r="I225" s="110">
        <f>IF(OR(ISBLANK(D225),ISBLANK(E225)),IF(OR(B225="ALI",B225="AIE"),"L",IF(OR(B225="EE",B225="SE",B225="CE"),"A","")),IF(B225="EE",IF(E225&gt;=3,IF(D225&gt;=5,"H","A"),IF(E225&gt;=2,IF(D225&gt;=16,"H",IF(D225&lt;=4,"L","A")),IF(D225&lt;=15,"L","A"))),IF(OR(B225="SE",B225="CE"),IF(E225&gt;=4,IF(D225&gt;=6,"H","A"),IF(E225&gt;=2,IF(D225&gt;=20,"H",IF(D225&lt;=5,"L","A")),IF(D225&lt;=19,"L","A"))),IF(OR(B225="ALI",B225="AIE"),IF(E225&gt;=6,IF(D225&gt;=20,"H","A"),IF(E225&gt;=2,IF(D225&gt;=51,"H",IF(D225&lt;=19,"L","A")),IF(D225&lt;=50,"L","A"))),""))))</f>
        <v/>
      </c>
      <c r="J225" s="7">
        <f>CONCATENATE(B225,C225)</f>
        <v/>
      </c>
      <c r="K225" s="9">
        <f>IF(OR(H225="",H225=0),L225,H225)</f>
        <v/>
      </c>
      <c r="L225" s="9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 t="n"/>
      <c r="N225" s="115" t="n"/>
      <c r="O225" s="6" t="n"/>
    </row>
    <row r="226">
      <c r="A226" s="112" t="n"/>
      <c r="B226" s="4" t="n"/>
      <c r="C226" s="4" t="n"/>
      <c r="D226" s="7" t="n"/>
      <c r="E226" s="7" t="n"/>
      <c r="F226" s="8">
        <f>IF(ISBLANK(B226),"",IF(I226="L","Baixa",IF(I226="A","Média",IF(I226="","","Alta"))))</f>
        <v/>
      </c>
      <c r="G226" s="7">
        <f>CONCATENATE(B226,I226)</f>
        <v/>
      </c>
      <c r="H226" s="5">
        <f>IF(ISBLANK(B226),"",IF(B226="ALI",IF(I226="L",7,IF(I226="A",10,15)),IF(B226="AIE",IF(I226="L",5,IF(I226="A",7,10)),IF(B226="SE",IF(I226="L",4,IF(I226="A",5,7)),IF(OR(B226="EE",B226="CE"),IF(I226="L",3,IF(I226="A",4,6)),0)))))</f>
        <v/>
      </c>
      <c r="I226" s="110">
        <f>IF(OR(ISBLANK(D226),ISBLANK(E226)),IF(OR(B226="ALI",B226="AIE"),"L",IF(OR(B226="EE",B226="SE",B226="CE"),"A","")),IF(B226="EE",IF(E226&gt;=3,IF(D226&gt;=5,"H","A"),IF(E226&gt;=2,IF(D226&gt;=16,"H",IF(D226&lt;=4,"L","A")),IF(D226&lt;=15,"L","A"))),IF(OR(B226="SE",B226="CE"),IF(E226&gt;=4,IF(D226&gt;=6,"H","A"),IF(E226&gt;=2,IF(D226&gt;=20,"H",IF(D226&lt;=5,"L","A")),IF(D226&lt;=19,"L","A"))),IF(OR(B226="ALI",B226="AIE"),IF(E226&gt;=6,IF(D226&gt;=20,"H","A"),IF(E226&gt;=2,IF(D226&gt;=51,"H",IF(D226&lt;=19,"L","A")),IF(D226&lt;=50,"L","A"))),""))))</f>
        <v/>
      </c>
      <c r="J226" s="7">
        <f>CONCATENATE(B226,C226)</f>
        <v/>
      </c>
      <c r="K226" s="9">
        <f>IF(OR(H226="",H226=0),L226,H226)</f>
        <v/>
      </c>
      <c r="L226" s="9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 t="n"/>
      <c r="N226" s="115" t="n"/>
      <c r="O226" s="6" t="n"/>
    </row>
    <row r="227">
      <c r="A227" s="112" t="n"/>
      <c r="B227" s="4" t="n"/>
      <c r="C227" s="4" t="n"/>
      <c r="D227" s="7" t="n"/>
      <c r="E227" s="7" t="n"/>
      <c r="F227" s="8">
        <f>IF(ISBLANK(B227),"",IF(I227="L","Baixa",IF(I227="A","Média",IF(I227="","","Alta"))))</f>
        <v/>
      </c>
      <c r="G227" s="7">
        <f>CONCATENATE(B227,I227)</f>
        <v/>
      </c>
      <c r="H227" s="5">
        <f>IF(ISBLANK(B227),"",IF(B227="ALI",IF(I227="L",7,IF(I227="A",10,15)),IF(B227="AIE",IF(I227="L",5,IF(I227="A",7,10)),IF(B227="SE",IF(I227="L",4,IF(I227="A",5,7)),IF(OR(B227="EE",B227="CE"),IF(I227="L",3,IF(I227="A",4,6)),0)))))</f>
        <v/>
      </c>
      <c r="I227" s="110">
        <f>IF(OR(ISBLANK(D227),ISBLANK(E227)),IF(OR(B227="ALI",B227="AIE"),"L",IF(OR(B227="EE",B227="SE",B227="CE"),"A","")),IF(B227="EE",IF(E227&gt;=3,IF(D227&gt;=5,"H","A"),IF(E227&gt;=2,IF(D227&gt;=16,"H",IF(D227&lt;=4,"L","A")),IF(D227&lt;=15,"L","A"))),IF(OR(B227="SE",B227="CE"),IF(E227&gt;=4,IF(D227&gt;=6,"H","A"),IF(E227&gt;=2,IF(D227&gt;=20,"H",IF(D227&lt;=5,"L","A")),IF(D227&lt;=19,"L","A"))),IF(OR(B227="ALI",B227="AIE"),IF(E227&gt;=6,IF(D227&gt;=20,"H","A"),IF(E227&gt;=2,IF(D227&gt;=51,"H",IF(D227&lt;=19,"L","A")),IF(D227&lt;=50,"L","A"))),""))))</f>
        <v/>
      </c>
      <c r="J227" s="7">
        <f>CONCATENATE(B227,C227)</f>
        <v/>
      </c>
      <c r="K227" s="9">
        <f>IF(OR(H227="",H227=0),L227,H227)</f>
        <v/>
      </c>
      <c r="L227" s="9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 t="n"/>
      <c r="N227" s="115" t="n"/>
      <c r="O227" s="6" t="n"/>
    </row>
    <row r="228">
      <c r="A228" s="112" t="n"/>
      <c r="B228" s="4" t="n"/>
      <c r="C228" s="4" t="n"/>
      <c r="D228" s="7" t="n"/>
      <c r="E228" s="7" t="n"/>
      <c r="F228" s="8">
        <f>IF(ISBLANK(B228),"",IF(I228="L","Baixa",IF(I228="A","Média",IF(I228="","","Alta"))))</f>
        <v/>
      </c>
      <c r="G228" s="7">
        <f>CONCATENATE(B228,I228)</f>
        <v/>
      </c>
      <c r="H228" s="5">
        <f>IF(ISBLANK(B228),"",IF(B228="ALI",IF(I228="L",7,IF(I228="A",10,15)),IF(B228="AIE",IF(I228="L",5,IF(I228="A",7,10)),IF(B228="SE",IF(I228="L",4,IF(I228="A",5,7)),IF(OR(B228="EE",B228="CE"),IF(I228="L",3,IF(I228="A",4,6)),0)))))</f>
        <v/>
      </c>
      <c r="I228" s="110">
        <f>IF(OR(ISBLANK(D228),ISBLANK(E228)),IF(OR(B228="ALI",B228="AIE"),"L",IF(OR(B228="EE",B228="SE",B228="CE"),"A","")),IF(B228="EE",IF(E228&gt;=3,IF(D228&gt;=5,"H","A"),IF(E228&gt;=2,IF(D228&gt;=16,"H",IF(D228&lt;=4,"L","A")),IF(D228&lt;=15,"L","A"))),IF(OR(B228="SE",B228="CE"),IF(E228&gt;=4,IF(D228&gt;=6,"H","A"),IF(E228&gt;=2,IF(D228&gt;=20,"H",IF(D228&lt;=5,"L","A")),IF(D228&lt;=19,"L","A"))),IF(OR(B228="ALI",B228="AIE"),IF(E228&gt;=6,IF(D228&gt;=20,"H","A"),IF(E228&gt;=2,IF(D228&gt;=51,"H",IF(D228&lt;=19,"L","A")),IF(D228&lt;=50,"L","A"))),""))))</f>
        <v/>
      </c>
      <c r="J228" s="7">
        <f>CONCATENATE(B228,C228)</f>
        <v/>
      </c>
      <c r="K228" s="9">
        <f>IF(OR(H228="",H228=0),L228,H228)</f>
        <v/>
      </c>
      <c r="L228" s="9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 t="n"/>
      <c r="N228" s="115" t="n"/>
      <c r="O228" s="6" t="n"/>
    </row>
    <row r="229">
      <c r="A229" s="112" t="n"/>
      <c r="B229" s="4" t="n"/>
      <c r="C229" s="4" t="n"/>
      <c r="D229" s="7" t="n"/>
      <c r="E229" s="7" t="n"/>
      <c r="F229" s="8">
        <f>IF(ISBLANK(B229),"",IF(I229="L","Baixa",IF(I229="A","Média",IF(I229="","","Alta"))))</f>
        <v/>
      </c>
      <c r="G229" s="7">
        <f>CONCATENATE(B229,I229)</f>
        <v/>
      </c>
      <c r="H229" s="5">
        <f>IF(ISBLANK(B229),"",IF(B229="ALI",IF(I229="L",7,IF(I229="A",10,15)),IF(B229="AIE",IF(I229="L",5,IF(I229="A",7,10)),IF(B229="SE",IF(I229="L",4,IF(I229="A",5,7)),IF(OR(B229="EE",B229="CE"),IF(I229="L",3,IF(I229="A",4,6)),0)))))</f>
        <v/>
      </c>
      <c r="I229" s="110">
        <f>IF(OR(ISBLANK(D229),ISBLANK(E229)),IF(OR(B229="ALI",B229="AIE"),"L",IF(OR(B229="EE",B229="SE",B229="CE"),"A","")),IF(B229="EE",IF(E229&gt;=3,IF(D229&gt;=5,"H","A"),IF(E229&gt;=2,IF(D229&gt;=16,"H",IF(D229&lt;=4,"L","A")),IF(D229&lt;=15,"L","A"))),IF(OR(B229="SE",B229="CE"),IF(E229&gt;=4,IF(D229&gt;=6,"H","A"),IF(E229&gt;=2,IF(D229&gt;=20,"H",IF(D229&lt;=5,"L","A")),IF(D229&lt;=19,"L","A"))),IF(OR(B229="ALI",B229="AIE"),IF(E229&gt;=6,IF(D229&gt;=20,"H","A"),IF(E229&gt;=2,IF(D229&gt;=51,"H",IF(D229&lt;=19,"L","A")),IF(D229&lt;=50,"L","A"))),""))))</f>
        <v/>
      </c>
      <c r="J229" s="7">
        <f>CONCATENATE(B229,C229)</f>
        <v/>
      </c>
      <c r="K229" s="9">
        <f>IF(OR(H229="",H229=0),L229,H229)</f>
        <v/>
      </c>
      <c r="L229" s="9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 t="n"/>
      <c r="N229" s="115" t="n"/>
      <c r="O229" s="6" t="n"/>
    </row>
    <row r="230">
      <c r="A230" s="112" t="n"/>
      <c r="B230" s="4" t="n"/>
      <c r="C230" s="4" t="n"/>
      <c r="D230" s="7" t="n"/>
      <c r="E230" s="7" t="n"/>
      <c r="F230" s="8">
        <f>IF(ISBLANK(B230),"",IF(I230="L","Baixa",IF(I230="A","Média",IF(I230="","","Alta"))))</f>
        <v/>
      </c>
      <c r="G230" s="7">
        <f>CONCATENATE(B230,I230)</f>
        <v/>
      </c>
      <c r="H230" s="5">
        <f>IF(ISBLANK(B230),"",IF(B230="ALI",IF(I230="L",7,IF(I230="A",10,15)),IF(B230="AIE",IF(I230="L",5,IF(I230="A",7,10)),IF(B230="SE",IF(I230="L",4,IF(I230="A",5,7)),IF(OR(B230="EE",B230="CE"),IF(I230="L",3,IF(I230="A",4,6)),0)))))</f>
        <v/>
      </c>
      <c r="I230" s="110">
        <f>IF(OR(ISBLANK(D230),ISBLANK(E230)),IF(OR(B230="ALI",B230="AIE"),"L",IF(OR(B230="EE",B230="SE",B230="CE"),"A","")),IF(B230="EE",IF(E230&gt;=3,IF(D230&gt;=5,"H","A"),IF(E230&gt;=2,IF(D230&gt;=16,"H",IF(D230&lt;=4,"L","A")),IF(D230&lt;=15,"L","A"))),IF(OR(B230="SE",B230="CE"),IF(E230&gt;=4,IF(D230&gt;=6,"H","A"),IF(E230&gt;=2,IF(D230&gt;=20,"H",IF(D230&lt;=5,"L","A")),IF(D230&lt;=19,"L","A"))),IF(OR(B230="ALI",B230="AIE"),IF(E230&gt;=6,IF(D230&gt;=20,"H","A"),IF(E230&gt;=2,IF(D230&gt;=51,"H",IF(D230&lt;=19,"L","A")),IF(D230&lt;=50,"L","A"))),""))))</f>
        <v/>
      </c>
      <c r="J230" s="7">
        <f>CONCATENATE(B230,C230)</f>
        <v/>
      </c>
      <c r="K230" s="9">
        <f>IF(OR(H230="",H230=0),L230,H230)</f>
        <v/>
      </c>
      <c r="L230" s="9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 t="n"/>
      <c r="N230" s="115" t="n"/>
      <c r="O230" s="6" t="n"/>
    </row>
    <row r="231">
      <c r="A231" s="112" t="n"/>
      <c r="B231" s="4" t="n"/>
      <c r="C231" s="4" t="n"/>
      <c r="D231" s="7" t="n"/>
      <c r="E231" s="7" t="n"/>
      <c r="F231" s="8">
        <f>IF(ISBLANK(B231),"",IF(I231="L","Baixa",IF(I231="A","Média",IF(I231="","","Alta"))))</f>
        <v/>
      </c>
      <c r="G231" s="7">
        <f>CONCATENATE(B231,I231)</f>
        <v/>
      </c>
      <c r="H231" s="5">
        <f>IF(ISBLANK(B231),"",IF(B231="ALI",IF(I231="L",7,IF(I231="A",10,15)),IF(B231="AIE",IF(I231="L",5,IF(I231="A",7,10)),IF(B231="SE",IF(I231="L",4,IF(I231="A",5,7)),IF(OR(B231="EE",B231="CE"),IF(I231="L",3,IF(I231="A",4,6)),0)))))</f>
        <v/>
      </c>
      <c r="I231" s="110">
        <f>IF(OR(ISBLANK(D231),ISBLANK(E231)),IF(OR(B231="ALI",B231="AIE"),"L",IF(OR(B231="EE",B231="SE",B231="CE"),"A","")),IF(B231="EE",IF(E231&gt;=3,IF(D231&gt;=5,"H","A"),IF(E231&gt;=2,IF(D231&gt;=16,"H",IF(D231&lt;=4,"L","A")),IF(D231&lt;=15,"L","A"))),IF(OR(B231="SE",B231="CE"),IF(E231&gt;=4,IF(D231&gt;=6,"H","A"),IF(E231&gt;=2,IF(D231&gt;=20,"H",IF(D231&lt;=5,"L","A")),IF(D231&lt;=19,"L","A"))),IF(OR(B231="ALI",B231="AIE"),IF(E231&gt;=6,IF(D231&gt;=20,"H","A"),IF(E231&gt;=2,IF(D231&gt;=51,"H",IF(D231&lt;=19,"L","A")),IF(D231&lt;=50,"L","A"))),""))))</f>
        <v/>
      </c>
      <c r="J231" s="7">
        <f>CONCATENATE(B231,C231)</f>
        <v/>
      </c>
      <c r="K231" s="9">
        <f>IF(OR(H231="",H231=0),L231,H231)</f>
        <v/>
      </c>
      <c r="L231" s="9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 t="n"/>
      <c r="N231" s="115" t="n"/>
      <c r="O231" s="6" t="n"/>
    </row>
    <row r="232">
      <c r="A232" s="112" t="n"/>
      <c r="B232" s="4" t="n"/>
      <c r="C232" s="4" t="n"/>
      <c r="D232" s="7" t="n"/>
      <c r="E232" s="7" t="n"/>
      <c r="F232" s="8">
        <f>IF(ISBLANK(B232),"",IF(I232="L","Baixa",IF(I232="A","Média",IF(I232="","","Alta"))))</f>
        <v/>
      </c>
      <c r="G232" s="7">
        <f>CONCATENATE(B232,I232)</f>
        <v/>
      </c>
      <c r="H232" s="5">
        <f>IF(ISBLANK(B232),"",IF(B232="ALI",IF(I232="L",7,IF(I232="A",10,15)),IF(B232="AIE",IF(I232="L",5,IF(I232="A",7,10)),IF(B232="SE",IF(I232="L",4,IF(I232="A",5,7)),IF(OR(B232="EE",B232="CE"),IF(I232="L",3,IF(I232="A",4,6)),0)))))</f>
        <v/>
      </c>
      <c r="I232" s="110">
        <f>IF(OR(ISBLANK(D232),ISBLANK(E232)),IF(OR(B232="ALI",B232="AIE"),"L",IF(OR(B232="EE",B232="SE",B232="CE"),"A","")),IF(B232="EE",IF(E232&gt;=3,IF(D232&gt;=5,"H","A"),IF(E232&gt;=2,IF(D232&gt;=16,"H",IF(D232&lt;=4,"L","A")),IF(D232&lt;=15,"L","A"))),IF(OR(B232="SE",B232="CE"),IF(E232&gt;=4,IF(D232&gt;=6,"H","A"),IF(E232&gt;=2,IF(D232&gt;=20,"H",IF(D232&lt;=5,"L","A")),IF(D232&lt;=19,"L","A"))),IF(OR(B232="ALI",B232="AIE"),IF(E232&gt;=6,IF(D232&gt;=20,"H","A"),IF(E232&gt;=2,IF(D232&gt;=51,"H",IF(D232&lt;=19,"L","A")),IF(D232&lt;=50,"L","A"))),""))))</f>
        <v/>
      </c>
      <c r="J232" s="7">
        <f>CONCATENATE(B232,C232)</f>
        <v/>
      </c>
      <c r="K232" s="9">
        <f>IF(OR(H232="",H232=0),L232,H232)</f>
        <v/>
      </c>
      <c r="L232" s="9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 t="n"/>
      <c r="N232" s="115" t="n"/>
      <c r="O232" s="6" t="n"/>
    </row>
    <row r="233">
      <c r="A233" s="112" t="n"/>
      <c r="B233" s="4" t="n"/>
      <c r="C233" s="4" t="n"/>
      <c r="D233" s="7" t="n"/>
      <c r="E233" s="7" t="n"/>
      <c r="F233" s="8">
        <f>IF(ISBLANK(B233),"",IF(I233="L","Baixa",IF(I233="A","Média",IF(I233="","","Alta"))))</f>
        <v/>
      </c>
      <c r="G233" s="7">
        <f>CONCATENATE(B233,I233)</f>
        <v/>
      </c>
      <c r="H233" s="5">
        <f>IF(ISBLANK(B233),"",IF(B233="ALI",IF(I233="L",7,IF(I233="A",10,15)),IF(B233="AIE",IF(I233="L",5,IF(I233="A",7,10)),IF(B233="SE",IF(I233="L",4,IF(I233="A",5,7)),IF(OR(B233="EE",B233="CE"),IF(I233="L",3,IF(I233="A",4,6)),0)))))</f>
        <v/>
      </c>
      <c r="I233" s="110">
        <f>IF(OR(ISBLANK(D233),ISBLANK(E233)),IF(OR(B233="ALI",B233="AIE"),"L",IF(OR(B233="EE",B233="SE",B233="CE"),"A","")),IF(B233="EE",IF(E233&gt;=3,IF(D233&gt;=5,"H","A"),IF(E233&gt;=2,IF(D233&gt;=16,"H",IF(D233&lt;=4,"L","A")),IF(D233&lt;=15,"L","A"))),IF(OR(B233="SE",B233="CE"),IF(E233&gt;=4,IF(D233&gt;=6,"H","A"),IF(E233&gt;=2,IF(D233&gt;=20,"H",IF(D233&lt;=5,"L","A")),IF(D233&lt;=19,"L","A"))),IF(OR(B233="ALI",B233="AIE"),IF(E233&gt;=6,IF(D233&gt;=20,"H","A"),IF(E233&gt;=2,IF(D233&gt;=51,"H",IF(D233&lt;=19,"L","A")),IF(D233&lt;=50,"L","A"))),""))))</f>
        <v/>
      </c>
      <c r="J233" s="7">
        <f>CONCATENATE(B233,C233)</f>
        <v/>
      </c>
      <c r="K233" s="9">
        <f>IF(OR(H233="",H233=0),L233,H233)</f>
        <v/>
      </c>
      <c r="L233" s="9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 t="n"/>
      <c r="N233" s="115" t="n"/>
      <c r="O233" s="6" t="n"/>
    </row>
    <row r="234">
      <c r="A234" s="112" t="n"/>
      <c r="B234" s="4" t="n"/>
      <c r="C234" s="4" t="n"/>
      <c r="D234" s="7" t="n"/>
      <c r="E234" s="7" t="n"/>
      <c r="F234" s="8">
        <f>IF(ISBLANK(B234),"",IF(I234="L","Baixa",IF(I234="A","Média",IF(I234="","","Alta"))))</f>
        <v/>
      </c>
      <c r="G234" s="7">
        <f>CONCATENATE(B234,I234)</f>
        <v/>
      </c>
      <c r="H234" s="5">
        <f>IF(ISBLANK(B234),"",IF(B234="ALI",IF(I234="L",7,IF(I234="A",10,15)),IF(B234="AIE",IF(I234="L",5,IF(I234="A",7,10)),IF(B234="SE",IF(I234="L",4,IF(I234="A",5,7)),IF(OR(B234="EE",B234="CE"),IF(I234="L",3,IF(I234="A",4,6)),0)))))</f>
        <v/>
      </c>
      <c r="I234" s="110">
        <f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/>
      </c>
      <c r="J234" s="7">
        <f>CONCATENATE(B234,C234)</f>
        <v/>
      </c>
      <c r="K234" s="9">
        <f>IF(OR(H234="",H234=0),L234,H234)</f>
        <v/>
      </c>
      <c r="L234" s="9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 t="n"/>
      <c r="N234" s="115" t="n"/>
      <c r="O234" s="6" t="n"/>
    </row>
    <row r="235">
      <c r="A235" s="112" t="n"/>
      <c r="B235" s="4" t="n"/>
      <c r="C235" s="4" t="n"/>
      <c r="D235" s="7" t="n"/>
      <c r="E235" s="7" t="n"/>
      <c r="F235" s="8">
        <f>IF(ISBLANK(B235),"",IF(I235="L","Baixa",IF(I235="A","Média",IF(I235="","","Alta"))))</f>
        <v/>
      </c>
      <c r="G235" s="7">
        <f>CONCATENATE(B235,I235)</f>
        <v/>
      </c>
      <c r="H235" s="5">
        <f>IF(ISBLANK(B235),"",IF(B235="ALI",IF(I235="L",7,IF(I235="A",10,15)),IF(B235="AIE",IF(I235="L",5,IF(I235="A",7,10)),IF(B235="SE",IF(I235="L",4,IF(I235="A",5,7)),IF(OR(B235="EE",B235="CE"),IF(I235="L",3,IF(I235="A",4,6)),0)))))</f>
        <v/>
      </c>
      <c r="I235" s="110">
        <f>IF(OR(ISBLANK(D235),ISBLANK(E235)),IF(OR(B235="ALI",B235="AIE"),"L",IF(OR(B235="EE",B235="SE",B235="CE"),"A","")),IF(B235="EE",IF(E235&gt;=3,IF(D235&gt;=5,"H","A"),IF(E235&gt;=2,IF(D235&gt;=16,"H",IF(D235&lt;=4,"L","A")),IF(D235&lt;=15,"L","A"))),IF(OR(B235="SE",B235="CE"),IF(E235&gt;=4,IF(D235&gt;=6,"H","A"),IF(E235&gt;=2,IF(D235&gt;=20,"H",IF(D235&lt;=5,"L","A")),IF(D235&lt;=19,"L","A"))),IF(OR(B235="ALI",B235="AIE"),IF(E235&gt;=6,IF(D235&gt;=20,"H","A"),IF(E235&gt;=2,IF(D235&gt;=51,"H",IF(D235&lt;=19,"L","A")),IF(D235&lt;=50,"L","A"))),""))))</f>
        <v/>
      </c>
      <c r="J235" s="7">
        <f>CONCATENATE(B235,C235)</f>
        <v/>
      </c>
      <c r="K235" s="9">
        <f>IF(OR(H235="",H235=0),L235,H235)</f>
        <v/>
      </c>
      <c r="L235" s="9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 t="n"/>
      <c r="N235" s="115" t="n"/>
      <c r="O235" s="6" t="n"/>
    </row>
    <row r="236">
      <c r="A236" s="112" t="n"/>
      <c r="B236" s="4" t="n"/>
      <c r="C236" s="4" t="n"/>
      <c r="D236" s="7" t="n"/>
      <c r="E236" s="7" t="n"/>
      <c r="F236" s="8">
        <f>IF(ISBLANK(B236),"",IF(I236="L","Baixa",IF(I236="A","Média",IF(I236="","","Alta"))))</f>
        <v/>
      </c>
      <c r="G236" s="7">
        <f>CONCATENATE(B236,I236)</f>
        <v/>
      </c>
      <c r="H236" s="5">
        <f>IF(ISBLANK(B236),"",IF(B236="ALI",IF(I236="L",7,IF(I236="A",10,15)),IF(B236="AIE",IF(I236="L",5,IF(I236="A",7,10)),IF(B236="SE",IF(I236="L",4,IF(I236="A",5,7)),IF(OR(B236="EE",B236="CE"),IF(I236="L",3,IF(I236="A",4,6)),0)))))</f>
        <v/>
      </c>
      <c r="I236" s="110">
        <f>IF(OR(ISBLANK(D236),ISBLANK(E236)),IF(OR(B236="ALI",B236="AIE"),"L",IF(OR(B236="EE",B236="SE",B236="CE"),"A","")),IF(B236="EE",IF(E236&gt;=3,IF(D236&gt;=5,"H","A"),IF(E236&gt;=2,IF(D236&gt;=16,"H",IF(D236&lt;=4,"L","A")),IF(D236&lt;=15,"L","A"))),IF(OR(B236="SE",B236="CE"),IF(E236&gt;=4,IF(D236&gt;=6,"H","A"),IF(E236&gt;=2,IF(D236&gt;=20,"H",IF(D236&lt;=5,"L","A")),IF(D236&lt;=19,"L","A"))),IF(OR(B236="ALI",B236="AIE"),IF(E236&gt;=6,IF(D236&gt;=20,"H","A"),IF(E236&gt;=2,IF(D236&gt;=51,"H",IF(D236&lt;=19,"L","A")),IF(D236&lt;=50,"L","A"))),""))))</f>
        <v/>
      </c>
      <c r="J236" s="7">
        <f>CONCATENATE(B236,C236)</f>
        <v/>
      </c>
      <c r="K236" s="9">
        <f>IF(OR(H236="",H236=0),L236,H236)</f>
        <v/>
      </c>
      <c r="L236" s="9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 t="n"/>
      <c r="N236" s="115" t="n"/>
      <c r="O236" s="6" t="n"/>
    </row>
    <row r="237">
      <c r="A237" s="112" t="n"/>
      <c r="B237" s="4" t="n"/>
      <c r="C237" s="4" t="n"/>
      <c r="D237" s="7" t="n"/>
      <c r="E237" s="7" t="n"/>
      <c r="F237" s="8">
        <f>IF(ISBLANK(B237),"",IF(I237="L","Baixa",IF(I237="A","Média",IF(I237="","","Alta"))))</f>
        <v/>
      </c>
      <c r="G237" s="7">
        <f>CONCATENATE(B237,I237)</f>
        <v/>
      </c>
      <c r="H237" s="5">
        <f>IF(ISBLANK(B237),"",IF(B237="ALI",IF(I237="L",7,IF(I237="A",10,15)),IF(B237="AIE",IF(I237="L",5,IF(I237="A",7,10)),IF(B237="SE",IF(I237="L",4,IF(I237="A",5,7)),IF(OR(B237="EE",B237="CE"),IF(I237="L",3,IF(I237="A",4,6)),0)))))</f>
        <v/>
      </c>
      <c r="I237" s="110">
        <f>IF(OR(ISBLANK(D237),ISBLANK(E237)),IF(OR(B237="ALI",B237="AIE"),"L",IF(OR(B237="EE",B237="SE",B237="CE"),"A","")),IF(B237="EE",IF(E237&gt;=3,IF(D237&gt;=5,"H","A"),IF(E237&gt;=2,IF(D237&gt;=16,"H",IF(D237&lt;=4,"L","A")),IF(D237&lt;=15,"L","A"))),IF(OR(B237="SE",B237="CE"),IF(E237&gt;=4,IF(D237&gt;=6,"H","A"),IF(E237&gt;=2,IF(D237&gt;=20,"H",IF(D237&lt;=5,"L","A")),IF(D237&lt;=19,"L","A"))),IF(OR(B237="ALI",B237="AIE"),IF(E237&gt;=6,IF(D237&gt;=20,"H","A"),IF(E237&gt;=2,IF(D237&gt;=51,"H",IF(D237&lt;=19,"L","A")),IF(D237&lt;=50,"L","A"))),""))))</f>
        <v/>
      </c>
      <c r="J237" s="7">
        <f>CONCATENATE(B237,C237)</f>
        <v/>
      </c>
      <c r="K237" s="9">
        <f>IF(OR(H237="",H237=0),L237,H237)</f>
        <v/>
      </c>
      <c r="L237" s="9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 t="n"/>
      <c r="N237" s="115" t="n"/>
      <c r="O237" s="6" t="n"/>
    </row>
    <row r="238">
      <c r="A238" s="112" t="n"/>
      <c r="B238" s="4" t="n"/>
      <c r="C238" s="4" t="n"/>
      <c r="D238" s="7" t="n"/>
      <c r="E238" s="7" t="n"/>
      <c r="F238" s="8">
        <f>IF(ISBLANK(B238),"",IF(I238="L","Baixa",IF(I238="A","Média",IF(I238="","","Alta"))))</f>
        <v/>
      </c>
      <c r="G238" s="7">
        <f>CONCATENATE(B238,I238)</f>
        <v/>
      </c>
      <c r="H238" s="5">
        <f>IF(ISBLANK(B238),"",IF(B238="ALI",IF(I238="L",7,IF(I238="A",10,15)),IF(B238="AIE",IF(I238="L",5,IF(I238="A",7,10)),IF(B238="SE",IF(I238="L",4,IF(I238="A",5,7)),IF(OR(B238="EE",B238="CE"),IF(I238="L",3,IF(I238="A",4,6)),0)))))</f>
        <v/>
      </c>
      <c r="I238" s="110">
        <f>IF(OR(ISBLANK(D238),ISBLANK(E238)),IF(OR(B238="ALI",B238="AIE"),"L",IF(OR(B238="EE",B238="SE",B238="CE"),"A","")),IF(B238="EE",IF(E238&gt;=3,IF(D238&gt;=5,"H","A"),IF(E238&gt;=2,IF(D238&gt;=16,"H",IF(D238&lt;=4,"L","A")),IF(D238&lt;=15,"L","A"))),IF(OR(B238="SE",B238="CE"),IF(E238&gt;=4,IF(D238&gt;=6,"H","A"),IF(E238&gt;=2,IF(D238&gt;=20,"H",IF(D238&lt;=5,"L","A")),IF(D238&lt;=19,"L","A"))),IF(OR(B238="ALI",B238="AIE"),IF(E238&gt;=6,IF(D238&gt;=20,"H","A"),IF(E238&gt;=2,IF(D238&gt;=51,"H",IF(D238&lt;=19,"L","A")),IF(D238&lt;=50,"L","A"))),""))))</f>
        <v/>
      </c>
      <c r="J238" s="7">
        <f>CONCATENATE(B238,C238)</f>
        <v/>
      </c>
      <c r="K238" s="9">
        <f>IF(OR(H238="",H238=0),L238,H238)</f>
        <v/>
      </c>
      <c r="L238" s="9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 t="n"/>
      <c r="N238" s="115" t="n"/>
      <c r="O238" s="6" t="n"/>
    </row>
    <row r="239">
      <c r="A239" s="112" t="n"/>
      <c r="B239" s="4" t="n"/>
      <c r="C239" s="4" t="n"/>
      <c r="D239" s="7" t="n"/>
      <c r="E239" s="7" t="n"/>
      <c r="F239" s="8">
        <f>IF(ISBLANK(B239),"",IF(I239="L","Baixa",IF(I239="A","Média",IF(I239="","","Alta"))))</f>
        <v/>
      </c>
      <c r="G239" s="7">
        <f>CONCATENATE(B239,I239)</f>
        <v/>
      </c>
      <c r="H239" s="5">
        <f>IF(ISBLANK(B239),"",IF(B239="ALI",IF(I239="L",7,IF(I239="A",10,15)),IF(B239="AIE",IF(I239="L",5,IF(I239="A",7,10)),IF(B239="SE",IF(I239="L",4,IF(I239="A",5,7)),IF(OR(B239="EE",B239="CE"),IF(I239="L",3,IF(I239="A",4,6)),0)))))</f>
        <v/>
      </c>
      <c r="I239" s="110">
        <f>IF(OR(ISBLANK(D239),ISBLANK(E239)),IF(OR(B239="ALI",B239="AIE"),"L",IF(OR(B239="EE",B239="SE",B239="CE"),"A","")),IF(B239="EE",IF(E239&gt;=3,IF(D239&gt;=5,"H","A"),IF(E239&gt;=2,IF(D239&gt;=16,"H",IF(D239&lt;=4,"L","A")),IF(D239&lt;=15,"L","A"))),IF(OR(B239="SE",B239="CE"),IF(E239&gt;=4,IF(D239&gt;=6,"H","A"),IF(E239&gt;=2,IF(D239&gt;=20,"H",IF(D239&lt;=5,"L","A")),IF(D239&lt;=19,"L","A"))),IF(OR(B239="ALI",B239="AIE"),IF(E239&gt;=6,IF(D239&gt;=20,"H","A"),IF(E239&gt;=2,IF(D239&gt;=51,"H",IF(D239&lt;=19,"L","A")),IF(D239&lt;=50,"L","A"))),""))))</f>
        <v/>
      </c>
      <c r="J239" s="7">
        <f>CONCATENATE(B239,C239)</f>
        <v/>
      </c>
      <c r="K239" s="9">
        <f>IF(OR(H239="",H239=0),L239,H239)</f>
        <v/>
      </c>
      <c r="L239" s="9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 t="n"/>
      <c r="N239" s="115" t="n"/>
      <c r="O239" s="6" t="n"/>
    </row>
    <row r="240">
      <c r="A240" s="112" t="n"/>
      <c r="B240" s="4" t="n"/>
      <c r="C240" s="4" t="n"/>
      <c r="D240" s="7" t="n"/>
      <c r="E240" s="7" t="n"/>
      <c r="F240" s="8">
        <f>IF(ISBLANK(B240),"",IF(I240="L","Baixa",IF(I240="A","Média",IF(I240="","","Alta"))))</f>
        <v/>
      </c>
      <c r="G240" s="7">
        <f>CONCATENATE(B240,I240)</f>
        <v/>
      </c>
      <c r="H240" s="5">
        <f>IF(ISBLANK(B240),"",IF(B240="ALI",IF(I240="L",7,IF(I240="A",10,15)),IF(B240="AIE",IF(I240="L",5,IF(I240="A",7,10)),IF(B240="SE",IF(I240="L",4,IF(I240="A",5,7)),IF(OR(B240="EE",B240="CE"),IF(I240="L",3,IF(I240="A",4,6)),0)))))</f>
        <v/>
      </c>
      <c r="I240" s="110">
        <f>IF(OR(ISBLANK(D240),ISBLANK(E240)),IF(OR(B240="ALI",B240="AIE"),"L",IF(OR(B240="EE",B240="SE",B240="CE"),"A","")),IF(B240="EE",IF(E240&gt;=3,IF(D240&gt;=5,"H","A"),IF(E240&gt;=2,IF(D240&gt;=16,"H",IF(D240&lt;=4,"L","A")),IF(D240&lt;=15,"L","A"))),IF(OR(B240="SE",B240="CE"),IF(E240&gt;=4,IF(D240&gt;=6,"H","A"),IF(E240&gt;=2,IF(D240&gt;=20,"H",IF(D240&lt;=5,"L","A")),IF(D240&lt;=19,"L","A"))),IF(OR(B240="ALI",B240="AIE"),IF(E240&gt;=6,IF(D240&gt;=20,"H","A"),IF(E240&gt;=2,IF(D240&gt;=51,"H",IF(D240&lt;=19,"L","A")),IF(D240&lt;=50,"L","A"))),""))))</f>
        <v/>
      </c>
      <c r="J240" s="7">
        <f>CONCATENATE(B240,C240)</f>
        <v/>
      </c>
      <c r="K240" s="9">
        <f>IF(OR(H240="",H240=0),L240,H240)</f>
        <v/>
      </c>
      <c r="L240" s="9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 t="n"/>
      <c r="N240" s="115" t="n"/>
      <c r="O240" s="6" t="n"/>
    </row>
    <row r="241">
      <c r="A241" s="112" t="n"/>
      <c r="B241" s="4" t="n"/>
      <c r="C241" s="4" t="n"/>
      <c r="D241" s="7" t="n"/>
      <c r="E241" s="7" t="n"/>
      <c r="F241" s="8">
        <f>IF(ISBLANK(B241),"",IF(I241="L","Baixa",IF(I241="A","Média",IF(I241="","","Alta"))))</f>
        <v/>
      </c>
      <c r="G241" s="7">
        <f>CONCATENATE(B241,I241)</f>
        <v/>
      </c>
      <c r="H241" s="5">
        <f>IF(ISBLANK(B241),"",IF(B241="ALI",IF(I241="L",7,IF(I241="A",10,15)),IF(B241="AIE",IF(I241="L",5,IF(I241="A",7,10)),IF(B241="SE",IF(I241="L",4,IF(I241="A",5,7)),IF(OR(B241="EE",B241="CE"),IF(I241="L",3,IF(I241="A",4,6)),0)))))</f>
        <v/>
      </c>
      <c r="I241" s="110">
        <f>IF(OR(ISBLANK(D241),ISBLANK(E241)),IF(OR(B241="ALI",B241="AIE"),"L",IF(OR(B241="EE",B241="SE",B241="CE"),"A","")),IF(B241="EE",IF(E241&gt;=3,IF(D241&gt;=5,"H","A"),IF(E241&gt;=2,IF(D241&gt;=16,"H",IF(D241&lt;=4,"L","A")),IF(D241&lt;=15,"L","A"))),IF(OR(B241="SE",B241="CE"),IF(E241&gt;=4,IF(D241&gt;=6,"H","A"),IF(E241&gt;=2,IF(D241&gt;=20,"H",IF(D241&lt;=5,"L","A")),IF(D241&lt;=19,"L","A"))),IF(OR(B241="ALI",B241="AIE"),IF(E241&gt;=6,IF(D241&gt;=20,"H","A"),IF(E241&gt;=2,IF(D241&gt;=51,"H",IF(D241&lt;=19,"L","A")),IF(D241&lt;=50,"L","A"))),""))))</f>
        <v/>
      </c>
      <c r="J241" s="7">
        <f>CONCATENATE(B241,C241)</f>
        <v/>
      </c>
      <c r="K241" s="9">
        <f>IF(OR(H241="",H241=0),L241,H241)</f>
        <v/>
      </c>
      <c r="L241" s="9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 t="n"/>
      <c r="N241" s="115" t="n"/>
      <c r="O241" s="6" t="n"/>
    </row>
    <row r="242">
      <c r="A242" s="112" t="n"/>
      <c r="B242" s="4" t="n"/>
      <c r="C242" s="4" t="n"/>
      <c r="D242" s="7" t="n"/>
      <c r="E242" s="7" t="n"/>
      <c r="F242" s="8">
        <f>IF(ISBLANK(B242),"",IF(I242="L","Baixa",IF(I242="A","Média",IF(I242="","","Alta"))))</f>
        <v/>
      </c>
      <c r="G242" s="7">
        <f>CONCATENATE(B242,I242)</f>
        <v/>
      </c>
      <c r="H242" s="5">
        <f>IF(ISBLANK(B242),"",IF(B242="ALI",IF(I242="L",7,IF(I242="A",10,15)),IF(B242="AIE",IF(I242="L",5,IF(I242="A",7,10)),IF(B242="SE",IF(I242="L",4,IF(I242="A",5,7)),IF(OR(B242="EE",B242="CE"),IF(I242="L",3,IF(I242="A",4,6)),0)))))</f>
        <v/>
      </c>
      <c r="I242" s="110">
        <f>IF(OR(ISBLANK(D242),ISBLANK(E242)),IF(OR(B242="ALI",B242="AIE"),"L",IF(OR(B242="EE",B242="SE",B242="CE"),"A","")),IF(B242="EE",IF(E242&gt;=3,IF(D242&gt;=5,"H","A"),IF(E242&gt;=2,IF(D242&gt;=16,"H",IF(D242&lt;=4,"L","A")),IF(D242&lt;=15,"L","A"))),IF(OR(B242="SE",B242="CE"),IF(E242&gt;=4,IF(D242&gt;=6,"H","A"),IF(E242&gt;=2,IF(D242&gt;=20,"H",IF(D242&lt;=5,"L","A")),IF(D242&lt;=19,"L","A"))),IF(OR(B242="ALI",B242="AIE"),IF(E242&gt;=6,IF(D242&gt;=20,"H","A"),IF(E242&gt;=2,IF(D242&gt;=51,"H",IF(D242&lt;=19,"L","A")),IF(D242&lt;=50,"L","A"))),""))))</f>
        <v/>
      </c>
      <c r="J242" s="7">
        <f>CONCATENATE(B242,C242)</f>
        <v/>
      </c>
      <c r="K242" s="9">
        <f>IF(OR(H242="",H242=0),L242,H242)</f>
        <v/>
      </c>
      <c r="L242" s="9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 t="n"/>
      <c r="N242" s="115" t="n"/>
      <c r="O242" s="6" t="n"/>
    </row>
    <row r="243">
      <c r="A243" s="112" t="n"/>
      <c r="B243" s="4" t="n"/>
      <c r="C243" s="4" t="n"/>
      <c r="D243" s="7" t="n"/>
      <c r="E243" s="7" t="n"/>
      <c r="F243" s="8">
        <f>IF(ISBLANK(B243),"",IF(I243="L","Baixa",IF(I243="A","Média",IF(I243="","","Alta"))))</f>
        <v/>
      </c>
      <c r="G243" s="7">
        <f>CONCATENATE(B243,I243)</f>
        <v/>
      </c>
      <c r="H243" s="5">
        <f>IF(ISBLANK(B243),"",IF(B243="ALI",IF(I243="L",7,IF(I243="A",10,15)),IF(B243="AIE",IF(I243="L",5,IF(I243="A",7,10)),IF(B243="SE",IF(I243="L",4,IF(I243="A",5,7)),IF(OR(B243="EE",B243="CE"),IF(I243="L",3,IF(I243="A",4,6)),0)))))</f>
        <v/>
      </c>
      <c r="I243" s="110">
        <f>IF(OR(ISBLANK(D243),ISBLANK(E243)),IF(OR(B243="ALI",B243="AIE"),"L",IF(OR(B243="EE",B243="SE",B243="CE"),"A","")),IF(B243="EE",IF(E243&gt;=3,IF(D243&gt;=5,"H","A"),IF(E243&gt;=2,IF(D243&gt;=16,"H",IF(D243&lt;=4,"L","A")),IF(D243&lt;=15,"L","A"))),IF(OR(B243="SE",B243="CE"),IF(E243&gt;=4,IF(D243&gt;=6,"H","A"),IF(E243&gt;=2,IF(D243&gt;=20,"H",IF(D243&lt;=5,"L","A")),IF(D243&lt;=19,"L","A"))),IF(OR(B243="ALI",B243="AIE"),IF(E243&gt;=6,IF(D243&gt;=20,"H","A"),IF(E243&gt;=2,IF(D243&gt;=51,"H",IF(D243&lt;=19,"L","A")),IF(D243&lt;=50,"L","A"))),""))))</f>
        <v/>
      </c>
      <c r="J243" s="7">
        <f>CONCATENATE(B243,C243)</f>
        <v/>
      </c>
      <c r="K243" s="9">
        <f>IF(OR(H243="",H243=0),L243,H243)</f>
        <v/>
      </c>
      <c r="L243" s="9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 t="n"/>
      <c r="N243" s="115" t="n"/>
      <c r="O243" s="6" t="n"/>
    </row>
    <row r="244">
      <c r="A244" s="112" t="n"/>
      <c r="B244" s="4" t="n"/>
      <c r="C244" s="4" t="n"/>
      <c r="D244" s="7" t="n"/>
      <c r="E244" s="7" t="n"/>
      <c r="F244" s="8">
        <f>IF(ISBLANK(B244),"",IF(I244="L","Baixa",IF(I244="A","Média",IF(I244="","","Alta"))))</f>
        <v/>
      </c>
      <c r="G244" s="7">
        <f>CONCATENATE(B244,I244)</f>
        <v/>
      </c>
      <c r="H244" s="5">
        <f>IF(ISBLANK(B244),"",IF(B244="ALI",IF(I244="L",7,IF(I244="A",10,15)),IF(B244="AIE",IF(I244="L",5,IF(I244="A",7,10)),IF(B244="SE",IF(I244="L",4,IF(I244="A",5,7)),IF(OR(B244="EE",B244="CE"),IF(I244="L",3,IF(I244="A",4,6)),0)))))</f>
        <v/>
      </c>
      <c r="I244" s="110">
        <f>IF(OR(ISBLANK(D244),ISBLANK(E244)),IF(OR(B244="ALI",B244="AIE"),"L",IF(OR(B244="EE",B244="SE",B244="CE"),"A","")),IF(B244="EE",IF(E244&gt;=3,IF(D244&gt;=5,"H","A"),IF(E244&gt;=2,IF(D244&gt;=16,"H",IF(D244&lt;=4,"L","A")),IF(D244&lt;=15,"L","A"))),IF(OR(B244="SE",B244="CE"),IF(E244&gt;=4,IF(D244&gt;=6,"H","A"),IF(E244&gt;=2,IF(D244&gt;=20,"H",IF(D244&lt;=5,"L","A")),IF(D244&lt;=19,"L","A"))),IF(OR(B244="ALI",B244="AIE"),IF(E244&gt;=6,IF(D244&gt;=20,"H","A"),IF(E244&gt;=2,IF(D244&gt;=51,"H",IF(D244&lt;=19,"L","A")),IF(D244&lt;=50,"L","A"))),""))))</f>
        <v/>
      </c>
      <c r="J244" s="7">
        <f>CONCATENATE(B244,C244)</f>
        <v/>
      </c>
      <c r="K244" s="9">
        <f>IF(OR(H244="",H244=0),L244,H244)</f>
        <v/>
      </c>
      <c r="L244" s="9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 t="n"/>
      <c r="N244" s="115" t="n"/>
      <c r="O244" s="6" t="n"/>
    </row>
    <row r="245">
      <c r="A245" s="112" t="n"/>
      <c r="B245" s="4" t="n"/>
      <c r="C245" s="4" t="n"/>
      <c r="D245" s="7" t="n"/>
      <c r="E245" s="7" t="n"/>
      <c r="F245" s="8">
        <f>IF(ISBLANK(B245),"",IF(I245="L","Baixa",IF(I245="A","Média",IF(I245="","","Alta"))))</f>
        <v/>
      </c>
      <c r="G245" s="7">
        <f>CONCATENATE(B245,I245)</f>
        <v/>
      </c>
      <c r="H245" s="5">
        <f>IF(ISBLANK(B245),"",IF(B245="ALI",IF(I245="L",7,IF(I245="A",10,15)),IF(B245="AIE",IF(I245="L",5,IF(I245="A",7,10)),IF(B245="SE",IF(I245="L",4,IF(I245="A",5,7)),IF(OR(B245="EE",B245="CE"),IF(I245="L",3,IF(I245="A",4,6)),0)))))</f>
        <v/>
      </c>
      <c r="I245" s="110">
        <f>IF(OR(ISBLANK(D245),ISBLANK(E245)),IF(OR(B245="ALI",B245="AIE"),"L",IF(OR(B245="EE",B245="SE",B245="CE"),"A","")),IF(B245="EE",IF(E245&gt;=3,IF(D245&gt;=5,"H","A"),IF(E245&gt;=2,IF(D245&gt;=16,"H",IF(D245&lt;=4,"L","A")),IF(D245&lt;=15,"L","A"))),IF(OR(B245="SE",B245="CE"),IF(E245&gt;=4,IF(D245&gt;=6,"H","A"),IF(E245&gt;=2,IF(D245&gt;=20,"H",IF(D245&lt;=5,"L","A")),IF(D245&lt;=19,"L","A"))),IF(OR(B245="ALI",B245="AIE"),IF(E245&gt;=6,IF(D245&gt;=20,"H","A"),IF(E245&gt;=2,IF(D245&gt;=51,"H",IF(D245&lt;=19,"L","A")),IF(D245&lt;=50,"L","A"))),""))))</f>
        <v/>
      </c>
      <c r="J245" s="7">
        <f>CONCATENATE(B245,C245)</f>
        <v/>
      </c>
      <c r="K245" s="9">
        <f>IF(OR(H245="",H245=0),L245,H245)</f>
        <v/>
      </c>
      <c r="L245" s="9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 t="n"/>
      <c r="N245" s="115" t="n"/>
      <c r="O245" s="6" t="n"/>
    </row>
    <row r="246">
      <c r="A246" s="112" t="n"/>
      <c r="B246" s="4" t="n"/>
      <c r="C246" s="4" t="n"/>
      <c r="D246" s="7" t="n"/>
      <c r="E246" s="7" t="n"/>
      <c r="F246" s="8">
        <f>IF(ISBLANK(B246),"",IF(I246="L","Baixa",IF(I246="A","Média",IF(I246="","","Alta"))))</f>
        <v/>
      </c>
      <c r="G246" s="7">
        <f>CONCATENATE(B246,I246)</f>
        <v/>
      </c>
      <c r="H246" s="5">
        <f>IF(ISBLANK(B246),"",IF(B246="ALI",IF(I246="L",7,IF(I246="A",10,15)),IF(B246="AIE",IF(I246="L",5,IF(I246="A",7,10)),IF(B246="SE",IF(I246="L",4,IF(I246="A",5,7)),IF(OR(B246="EE",B246="CE"),IF(I246="L",3,IF(I246="A",4,6)),0)))))</f>
        <v/>
      </c>
      <c r="I246" s="110">
        <f>IF(OR(ISBLANK(D246),ISBLANK(E246)),IF(OR(B246="ALI",B246="AIE"),"L",IF(OR(B246="EE",B246="SE",B246="CE"),"A","")),IF(B246="EE",IF(E246&gt;=3,IF(D246&gt;=5,"H","A"),IF(E246&gt;=2,IF(D246&gt;=16,"H",IF(D246&lt;=4,"L","A")),IF(D246&lt;=15,"L","A"))),IF(OR(B246="SE",B246="CE"),IF(E246&gt;=4,IF(D246&gt;=6,"H","A"),IF(E246&gt;=2,IF(D246&gt;=20,"H",IF(D246&lt;=5,"L","A")),IF(D246&lt;=19,"L","A"))),IF(OR(B246="ALI",B246="AIE"),IF(E246&gt;=6,IF(D246&gt;=20,"H","A"),IF(E246&gt;=2,IF(D246&gt;=51,"H",IF(D246&lt;=19,"L","A")),IF(D246&lt;=50,"L","A"))),""))))</f>
        <v/>
      </c>
      <c r="J246" s="7">
        <f>CONCATENATE(B246,C246)</f>
        <v/>
      </c>
      <c r="K246" s="9">
        <f>IF(OR(H246="",H246=0),L246,H246)</f>
        <v/>
      </c>
      <c r="L246" s="9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 t="n"/>
      <c r="N246" s="115" t="n"/>
      <c r="O246" s="6" t="n"/>
    </row>
    <row r="247">
      <c r="A247" s="112" t="n"/>
      <c r="B247" s="4" t="n"/>
      <c r="C247" s="4" t="n"/>
      <c r="D247" s="7" t="n"/>
      <c r="E247" s="7" t="n"/>
      <c r="F247" s="8">
        <f>IF(ISBLANK(B247),"",IF(I247="L","Baixa",IF(I247="A","Média",IF(I247="","","Alta"))))</f>
        <v/>
      </c>
      <c r="G247" s="7">
        <f>CONCATENATE(B247,I247)</f>
        <v/>
      </c>
      <c r="H247" s="5">
        <f>IF(ISBLANK(B247),"",IF(B247="ALI",IF(I247="L",7,IF(I247="A",10,15)),IF(B247="AIE",IF(I247="L",5,IF(I247="A",7,10)),IF(B247="SE",IF(I247="L",4,IF(I247="A",5,7)),IF(OR(B247="EE",B247="CE"),IF(I247="L",3,IF(I247="A",4,6)),0)))))</f>
        <v/>
      </c>
      <c r="I247" s="110">
        <f>IF(OR(ISBLANK(D247),ISBLANK(E247)),IF(OR(B247="ALI",B247="AIE"),"L",IF(OR(B247="EE",B247="SE",B247="CE"),"A","")),IF(B247="EE",IF(E247&gt;=3,IF(D247&gt;=5,"H","A"),IF(E247&gt;=2,IF(D247&gt;=16,"H",IF(D247&lt;=4,"L","A")),IF(D247&lt;=15,"L","A"))),IF(OR(B247="SE",B247="CE"),IF(E247&gt;=4,IF(D247&gt;=6,"H","A"),IF(E247&gt;=2,IF(D247&gt;=20,"H",IF(D247&lt;=5,"L","A")),IF(D247&lt;=19,"L","A"))),IF(OR(B247="ALI",B247="AIE"),IF(E247&gt;=6,IF(D247&gt;=20,"H","A"),IF(E247&gt;=2,IF(D247&gt;=51,"H",IF(D247&lt;=19,"L","A")),IF(D247&lt;=50,"L","A"))),""))))</f>
        <v/>
      </c>
      <c r="J247" s="7">
        <f>CONCATENATE(B247,C247)</f>
        <v/>
      </c>
      <c r="K247" s="9">
        <f>IF(OR(H247="",H247=0),L247,H247)</f>
        <v/>
      </c>
      <c r="L247" s="9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 t="n"/>
      <c r="N247" s="115" t="n"/>
      <c r="O247" s="6" t="n"/>
    </row>
    <row r="248">
      <c r="A248" s="112" t="n"/>
      <c r="B248" s="4" t="n"/>
      <c r="C248" s="4" t="n"/>
      <c r="D248" s="7" t="n"/>
      <c r="E248" s="7" t="n"/>
      <c r="F248" s="8">
        <f>IF(ISBLANK(B248),"",IF(I248="L","Baixa",IF(I248="A","Média",IF(I248="","","Alta"))))</f>
        <v/>
      </c>
      <c r="G248" s="7">
        <f>CONCATENATE(B248,I248)</f>
        <v/>
      </c>
      <c r="H248" s="5">
        <f>IF(ISBLANK(B248),"",IF(B248="ALI",IF(I248="L",7,IF(I248="A",10,15)),IF(B248="AIE",IF(I248="L",5,IF(I248="A",7,10)),IF(B248="SE",IF(I248="L",4,IF(I248="A",5,7)),IF(OR(B248="EE",B248="CE"),IF(I248="L",3,IF(I248="A",4,6)),0)))))</f>
        <v/>
      </c>
      <c r="I248" s="110">
        <f>IF(OR(ISBLANK(D248),ISBLANK(E248)),IF(OR(B248="ALI",B248="AIE"),"L",IF(OR(B248="EE",B248="SE",B248="CE"),"A","")),IF(B248="EE",IF(E248&gt;=3,IF(D248&gt;=5,"H","A"),IF(E248&gt;=2,IF(D248&gt;=16,"H",IF(D248&lt;=4,"L","A")),IF(D248&lt;=15,"L","A"))),IF(OR(B248="SE",B248="CE"),IF(E248&gt;=4,IF(D248&gt;=6,"H","A"),IF(E248&gt;=2,IF(D248&gt;=20,"H",IF(D248&lt;=5,"L","A")),IF(D248&lt;=19,"L","A"))),IF(OR(B248="ALI",B248="AIE"),IF(E248&gt;=6,IF(D248&gt;=20,"H","A"),IF(E248&gt;=2,IF(D248&gt;=51,"H",IF(D248&lt;=19,"L","A")),IF(D248&lt;=50,"L","A"))),""))))</f>
        <v/>
      </c>
      <c r="J248" s="7">
        <f>CONCATENATE(B248,C248)</f>
        <v/>
      </c>
      <c r="K248" s="9">
        <f>IF(OR(H248="",H248=0),L248,H248)</f>
        <v/>
      </c>
      <c r="L248" s="9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 t="n"/>
      <c r="N248" s="115" t="n"/>
      <c r="O248" s="6" t="n"/>
    </row>
    <row r="249">
      <c r="A249" s="112" t="n"/>
      <c r="B249" s="4" t="n"/>
      <c r="C249" s="4" t="n"/>
      <c r="D249" s="7" t="n"/>
      <c r="E249" s="7" t="n"/>
      <c r="F249" s="8">
        <f>IF(ISBLANK(B249),"",IF(I249="L","Baixa",IF(I249="A","Média",IF(I249="","","Alta"))))</f>
        <v/>
      </c>
      <c r="G249" s="7">
        <f>CONCATENATE(B249,I249)</f>
        <v/>
      </c>
      <c r="H249" s="5">
        <f>IF(ISBLANK(B249),"",IF(B249="ALI",IF(I249="L",7,IF(I249="A",10,15)),IF(B249="AIE",IF(I249="L",5,IF(I249="A",7,10)),IF(B249="SE",IF(I249="L",4,IF(I249="A",5,7)),IF(OR(B249="EE",B249="CE"),IF(I249="L",3,IF(I249="A",4,6)),0)))))</f>
        <v/>
      </c>
      <c r="I249" s="110">
        <f>IF(OR(ISBLANK(D249),ISBLANK(E249)),IF(OR(B249="ALI",B249="AIE"),"L",IF(OR(B249="EE",B249="SE",B249="CE"),"A","")),IF(B249="EE",IF(E249&gt;=3,IF(D249&gt;=5,"H","A"),IF(E249&gt;=2,IF(D249&gt;=16,"H",IF(D249&lt;=4,"L","A")),IF(D249&lt;=15,"L","A"))),IF(OR(B249="SE",B249="CE"),IF(E249&gt;=4,IF(D249&gt;=6,"H","A"),IF(E249&gt;=2,IF(D249&gt;=20,"H",IF(D249&lt;=5,"L","A")),IF(D249&lt;=19,"L","A"))),IF(OR(B249="ALI",B249="AIE"),IF(E249&gt;=6,IF(D249&gt;=20,"H","A"),IF(E249&gt;=2,IF(D249&gt;=51,"H",IF(D249&lt;=19,"L","A")),IF(D249&lt;=50,"L","A"))),""))))</f>
        <v/>
      </c>
      <c r="J249" s="7">
        <f>CONCATENATE(B249,C249)</f>
        <v/>
      </c>
      <c r="K249" s="9">
        <f>IF(OR(H249="",H249=0),L249,H249)</f>
        <v/>
      </c>
      <c r="L249" s="9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 t="n"/>
      <c r="N249" s="115" t="n"/>
      <c r="O249" s="6" t="n"/>
    </row>
    <row r="250">
      <c r="A250" s="112" t="n"/>
      <c r="B250" s="4" t="n"/>
      <c r="C250" s="4" t="n"/>
      <c r="D250" s="7" t="n"/>
      <c r="E250" s="7" t="n"/>
      <c r="F250" s="8">
        <f>IF(ISBLANK(B250),"",IF(I250="L","Baixa",IF(I250="A","Média",IF(I250="","","Alta"))))</f>
        <v/>
      </c>
      <c r="G250" s="7">
        <f>CONCATENATE(B250,I250)</f>
        <v/>
      </c>
      <c r="H250" s="5">
        <f>IF(ISBLANK(B250),"",IF(B250="ALI",IF(I250="L",7,IF(I250="A",10,15)),IF(B250="AIE",IF(I250="L",5,IF(I250="A",7,10)),IF(B250="SE",IF(I250="L",4,IF(I250="A",5,7)),IF(OR(B250="EE",B250="CE"),IF(I250="L",3,IF(I250="A",4,6)),0)))))</f>
        <v/>
      </c>
      <c r="I250" s="110">
        <f>IF(OR(ISBLANK(D250),ISBLANK(E250)),IF(OR(B250="ALI",B250="AIE"),"L",IF(OR(B250="EE",B250="SE",B250="CE"),"A","")),IF(B250="EE",IF(E250&gt;=3,IF(D250&gt;=5,"H","A"),IF(E250&gt;=2,IF(D250&gt;=16,"H",IF(D250&lt;=4,"L","A")),IF(D250&lt;=15,"L","A"))),IF(OR(B250="SE",B250="CE"),IF(E250&gt;=4,IF(D250&gt;=6,"H","A"),IF(E250&gt;=2,IF(D250&gt;=20,"H",IF(D250&lt;=5,"L","A")),IF(D250&lt;=19,"L","A"))),IF(OR(B250="ALI",B250="AIE"),IF(E250&gt;=6,IF(D250&gt;=20,"H","A"),IF(E250&gt;=2,IF(D250&gt;=51,"H",IF(D250&lt;=19,"L","A")),IF(D250&lt;=50,"L","A"))),""))))</f>
        <v/>
      </c>
      <c r="J250" s="7">
        <f>CONCATENATE(B250,C250)</f>
        <v/>
      </c>
      <c r="K250" s="9">
        <f>IF(OR(H250="",H250=0),L250,H250)</f>
        <v/>
      </c>
      <c r="L250" s="9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 t="n"/>
      <c r="N250" s="115" t="n"/>
      <c r="O250" s="6" t="n"/>
    </row>
    <row r="251">
      <c r="A251" s="112" t="n"/>
      <c r="B251" s="4" t="n"/>
      <c r="C251" s="4" t="n"/>
      <c r="D251" s="7" t="n"/>
      <c r="E251" s="7" t="n"/>
      <c r="F251" s="8">
        <f>IF(ISBLANK(B251),"",IF(I251="L","Baixa",IF(I251="A","Média",IF(I251="","","Alta"))))</f>
        <v/>
      </c>
      <c r="G251" s="7">
        <f>CONCATENATE(B251,I251)</f>
        <v/>
      </c>
      <c r="H251" s="5">
        <f>IF(ISBLANK(B251),"",IF(B251="ALI",IF(I251="L",7,IF(I251="A",10,15)),IF(B251="AIE",IF(I251="L",5,IF(I251="A",7,10)),IF(B251="SE",IF(I251="L",4,IF(I251="A",5,7)),IF(OR(B251="EE",B251="CE"),IF(I251="L",3,IF(I251="A",4,6)),0)))))</f>
        <v/>
      </c>
      <c r="I251" s="110">
        <f>IF(OR(ISBLANK(D251),ISBLANK(E251)),IF(OR(B251="ALI",B251="AIE"),"L",IF(OR(B251="EE",B251="SE",B251="CE"),"A","")),IF(B251="EE",IF(E251&gt;=3,IF(D251&gt;=5,"H","A"),IF(E251&gt;=2,IF(D251&gt;=16,"H",IF(D251&lt;=4,"L","A")),IF(D251&lt;=15,"L","A"))),IF(OR(B251="SE",B251="CE"),IF(E251&gt;=4,IF(D251&gt;=6,"H","A"),IF(E251&gt;=2,IF(D251&gt;=20,"H",IF(D251&lt;=5,"L","A")),IF(D251&lt;=19,"L","A"))),IF(OR(B251="ALI",B251="AIE"),IF(E251&gt;=6,IF(D251&gt;=20,"H","A"),IF(E251&gt;=2,IF(D251&gt;=51,"H",IF(D251&lt;=19,"L","A")),IF(D251&lt;=50,"L","A"))),""))))</f>
        <v/>
      </c>
      <c r="J251" s="7">
        <f>CONCATENATE(B251,C251)</f>
        <v/>
      </c>
      <c r="K251" s="9">
        <f>IF(OR(H251="",H251=0),L251,H251)</f>
        <v/>
      </c>
      <c r="L251" s="9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 t="n"/>
      <c r="N251" s="115" t="n"/>
      <c r="O251" s="6" t="n"/>
    </row>
    <row r="252">
      <c r="A252" s="112" t="n"/>
      <c r="B252" s="4" t="n"/>
      <c r="C252" s="4" t="n"/>
      <c r="D252" s="7" t="n"/>
      <c r="E252" s="7" t="n"/>
      <c r="F252" s="8">
        <f>IF(ISBLANK(B252),"",IF(I252="L","Baixa",IF(I252="A","Média",IF(I252="","","Alta"))))</f>
        <v/>
      </c>
      <c r="G252" s="7">
        <f>CONCATENATE(B252,I252)</f>
        <v/>
      </c>
      <c r="H252" s="5">
        <f>IF(ISBLANK(B252),"",IF(B252="ALI",IF(I252="L",7,IF(I252="A",10,15)),IF(B252="AIE",IF(I252="L",5,IF(I252="A",7,10)),IF(B252="SE",IF(I252="L",4,IF(I252="A",5,7)),IF(OR(B252="EE",B252="CE"),IF(I252="L",3,IF(I252="A",4,6)),0)))))</f>
        <v/>
      </c>
      <c r="I252" s="110">
        <f>IF(OR(ISBLANK(D252),ISBLANK(E252)),IF(OR(B252="ALI",B252="AIE"),"L",IF(OR(B252="EE",B252="SE",B252="CE"),"A","")),IF(B252="EE",IF(E252&gt;=3,IF(D252&gt;=5,"H","A"),IF(E252&gt;=2,IF(D252&gt;=16,"H",IF(D252&lt;=4,"L","A")),IF(D252&lt;=15,"L","A"))),IF(OR(B252="SE",B252="CE"),IF(E252&gt;=4,IF(D252&gt;=6,"H","A"),IF(E252&gt;=2,IF(D252&gt;=20,"H",IF(D252&lt;=5,"L","A")),IF(D252&lt;=19,"L","A"))),IF(OR(B252="ALI",B252="AIE"),IF(E252&gt;=6,IF(D252&gt;=20,"H","A"),IF(E252&gt;=2,IF(D252&gt;=51,"H",IF(D252&lt;=19,"L","A")),IF(D252&lt;=50,"L","A"))),""))))</f>
        <v/>
      </c>
      <c r="J252" s="7">
        <f>CONCATENATE(B252,C252)</f>
        <v/>
      </c>
      <c r="K252" s="9">
        <f>IF(OR(H252="",H252=0),L252,H252)</f>
        <v/>
      </c>
      <c r="L252" s="9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 t="n"/>
      <c r="N252" s="115" t="n"/>
      <c r="O252" s="6" t="n"/>
    </row>
    <row r="253">
      <c r="A253" s="112" t="n"/>
      <c r="B253" s="4" t="n"/>
      <c r="C253" s="4" t="n"/>
      <c r="D253" s="7" t="n"/>
      <c r="E253" s="7" t="n"/>
      <c r="F253" s="8">
        <f>IF(ISBLANK(B253),"",IF(I253="L","Baixa",IF(I253="A","Média",IF(I253="","","Alta"))))</f>
        <v/>
      </c>
      <c r="G253" s="7">
        <f>CONCATENATE(B253,I253)</f>
        <v/>
      </c>
      <c r="H253" s="5">
        <f>IF(ISBLANK(B253),"",IF(B253="ALI",IF(I253="L",7,IF(I253="A",10,15)),IF(B253="AIE",IF(I253="L",5,IF(I253="A",7,10)),IF(B253="SE",IF(I253="L",4,IF(I253="A",5,7)),IF(OR(B253="EE",B253="CE"),IF(I253="L",3,IF(I253="A",4,6)),0)))))</f>
        <v/>
      </c>
      <c r="I253" s="110">
        <f>IF(OR(ISBLANK(D253),ISBLANK(E253)),IF(OR(B253="ALI",B253="AIE"),"L",IF(OR(B253="EE",B253="SE",B253="CE"),"A","")),IF(B253="EE",IF(E253&gt;=3,IF(D253&gt;=5,"H","A"),IF(E253&gt;=2,IF(D253&gt;=16,"H",IF(D253&lt;=4,"L","A")),IF(D253&lt;=15,"L","A"))),IF(OR(B253="SE",B253="CE"),IF(E253&gt;=4,IF(D253&gt;=6,"H","A"),IF(E253&gt;=2,IF(D253&gt;=20,"H",IF(D253&lt;=5,"L","A")),IF(D253&lt;=19,"L","A"))),IF(OR(B253="ALI",B253="AIE"),IF(E253&gt;=6,IF(D253&gt;=20,"H","A"),IF(E253&gt;=2,IF(D253&gt;=51,"H",IF(D253&lt;=19,"L","A")),IF(D253&lt;=50,"L","A"))),""))))</f>
        <v/>
      </c>
      <c r="J253" s="7">
        <f>CONCATENATE(B253,C253)</f>
        <v/>
      </c>
      <c r="K253" s="9">
        <f>IF(OR(H253="",H253=0),L253,H253)</f>
        <v/>
      </c>
      <c r="L253" s="9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 t="n"/>
      <c r="N253" s="115" t="n"/>
      <c r="O253" s="6" t="n"/>
    </row>
    <row r="254">
      <c r="A254" s="112" t="n"/>
      <c r="B254" s="4" t="n"/>
      <c r="C254" s="4" t="n"/>
      <c r="D254" s="7" t="n"/>
      <c r="E254" s="7" t="n"/>
      <c r="F254" s="8">
        <f>IF(ISBLANK(B254),"",IF(I254="L","Baixa",IF(I254="A","Média",IF(I254="","","Alta"))))</f>
        <v/>
      </c>
      <c r="G254" s="7">
        <f>CONCATENATE(B254,I254)</f>
        <v/>
      </c>
      <c r="H254" s="5">
        <f>IF(ISBLANK(B254),"",IF(B254="ALI",IF(I254="L",7,IF(I254="A",10,15)),IF(B254="AIE",IF(I254="L",5,IF(I254="A",7,10)),IF(B254="SE",IF(I254="L",4,IF(I254="A",5,7)),IF(OR(B254="EE",B254="CE"),IF(I254="L",3,IF(I254="A",4,6)),0)))))</f>
        <v/>
      </c>
      <c r="I254" s="110">
        <f>IF(OR(ISBLANK(D254),ISBLANK(E254)),IF(OR(B254="ALI",B254="AIE"),"L",IF(OR(B254="EE",B254="SE",B254="CE"),"A","")),IF(B254="EE",IF(E254&gt;=3,IF(D254&gt;=5,"H","A"),IF(E254&gt;=2,IF(D254&gt;=16,"H",IF(D254&lt;=4,"L","A")),IF(D254&lt;=15,"L","A"))),IF(OR(B254="SE",B254="CE"),IF(E254&gt;=4,IF(D254&gt;=6,"H","A"),IF(E254&gt;=2,IF(D254&gt;=20,"H",IF(D254&lt;=5,"L","A")),IF(D254&lt;=19,"L","A"))),IF(OR(B254="ALI",B254="AIE"),IF(E254&gt;=6,IF(D254&gt;=20,"H","A"),IF(E254&gt;=2,IF(D254&gt;=51,"H",IF(D254&lt;=19,"L","A")),IF(D254&lt;=50,"L","A"))),""))))</f>
        <v/>
      </c>
      <c r="J254" s="7">
        <f>CONCATENATE(B254,C254)</f>
        <v/>
      </c>
      <c r="K254" s="9">
        <f>IF(OR(H254="",H254=0),L254,H254)</f>
        <v/>
      </c>
      <c r="L254" s="9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 t="n"/>
      <c r="N254" s="115" t="n"/>
      <c r="O254" s="6" t="n"/>
    </row>
    <row r="255">
      <c r="A255" s="112" t="n"/>
      <c r="B255" s="4" t="n"/>
      <c r="C255" s="4" t="n"/>
      <c r="D255" s="7" t="n"/>
      <c r="E255" s="7" t="n"/>
      <c r="F255" s="8">
        <f>IF(ISBLANK(B255),"",IF(I255="L","Baixa",IF(I255="A","Média",IF(I255="","","Alta"))))</f>
        <v/>
      </c>
      <c r="G255" s="7">
        <f>CONCATENATE(B255,I255)</f>
        <v/>
      </c>
      <c r="H255" s="5">
        <f>IF(ISBLANK(B255),"",IF(B255="ALI",IF(I255="L",7,IF(I255="A",10,15)),IF(B255="AIE",IF(I255="L",5,IF(I255="A",7,10)),IF(B255="SE",IF(I255="L",4,IF(I255="A",5,7)),IF(OR(B255="EE",B255="CE"),IF(I255="L",3,IF(I255="A",4,6)),0)))))</f>
        <v/>
      </c>
      <c r="I255" s="110">
        <f>IF(OR(ISBLANK(D255),ISBLANK(E255)),IF(OR(B255="ALI",B255="AIE"),"L",IF(OR(B255="EE",B255="SE",B255="CE"),"A","")),IF(B255="EE",IF(E255&gt;=3,IF(D255&gt;=5,"H","A"),IF(E255&gt;=2,IF(D255&gt;=16,"H",IF(D255&lt;=4,"L","A")),IF(D255&lt;=15,"L","A"))),IF(OR(B255="SE",B255="CE"),IF(E255&gt;=4,IF(D255&gt;=6,"H","A"),IF(E255&gt;=2,IF(D255&gt;=20,"H",IF(D255&lt;=5,"L","A")),IF(D255&lt;=19,"L","A"))),IF(OR(B255="ALI",B255="AIE"),IF(E255&gt;=6,IF(D255&gt;=20,"H","A"),IF(E255&gt;=2,IF(D255&gt;=51,"H",IF(D255&lt;=19,"L","A")),IF(D255&lt;=50,"L","A"))),""))))</f>
        <v/>
      </c>
      <c r="J255" s="7">
        <f>CONCATENATE(B255,C255)</f>
        <v/>
      </c>
      <c r="K255" s="9">
        <f>IF(OR(H255="",H255=0),L255,H255)</f>
        <v/>
      </c>
      <c r="L255" s="9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 t="n"/>
      <c r="N255" s="115" t="n"/>
      <c r="O255" s="6" t="n"/>
    </row>
    <row r="256">
      <c r="A256" s="112" t="n"/>
      <c r="B256" s="4" t="n"/>
      <c r="C256" s="4" t="n"/>
      <c r="D256" s="7" t="n"/>
      <c r="E256" s="7" t="n"/>
      <c r="F256" s="8">
        <f>IF(ISBLANK(B256),"",IF(I256="L","Baixa",IF(I256="A","Média",IF(I256="","","Alta"))))</f>
        <v/>
      </c>
      <c r="G256" s="7">
        <f>CONCATENATE(B256,I256)</f>
        <v/>
      </c>
      <c r="H256" s="5">
        <f>IF(ISBLANK(B256),"",IF(B256="ALI",IF(I256="L",7,IF(I256="A",10,15)),IF(B256="AIE",IF(I256="L",5,IF(I256="A",7,10)),IF(B256="SE",IF(I256="L",4,IF(I256="A",5,7)),IF(OR(B256="EE",B256="CE"),IF(I256="L",3,IF(I256="A",4,6)),0)))))</f>
        <v/>
      </c>
      <c r="I256" s="110">
        <f>IF(OR(ISBLANK(D256),ISBLANK(E256)),IF(OR(B256="ALI",B256="AIE"),"L",IF(OR(B256="EE",B256="SE",B256="CE"),"A","")),IF(B256="EE",IF(E256&gt;=3,IF(D256&gt;=5,"H","A"),IF(E256&gt;=2,IF(D256&gt;=16,"H",IF(D256&lt;=4,"L","A")),IF(D256&lt;=15,"L","A"))),IF(OR(B256="SE",B256="CE"),IF(E256&gt;=4,IF(D256&gt;=6,"H","A"),IF(E256&gt;=2,IF(D256&gt;=20,"H",IF(D256&lt;=5,"L","A")),IF(D256&lt;=19,"L","A"))),IF(OR(B256="ALI",B256="AIE"),IF(E256&gt;=6,IF(D256&gt;=20,"H","A"),IF(E256&gt;=2,IF(D256&gt;=51,"H",IF(D256&lt;=19,"L","A")),IF(D256&lt;=50,"L","A"))),""))))</f>
        <v/>
      </c>
      <c r="J256" s="7">
        <f>CONCATENATE(B256,C256)</f>
        <v/>
      </c>
      <c r="K256" s="9">
        <f>IF(OR(H256="",H256=0),L256,H256)</f>
        <v/>
      </c>
      <c r="L256" s="9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 t="n"/>
      <c r="N256" s="115" t="n"/>
      <c r="O256" s="6" t="n"/>
    </row>
    <row r="257">
      <c r="A257" s="112" t="n"/>
      <c r="B257" s="4" t="n"/>
      <c r="C257" s="4" t="n"/>
      <c r="D257" s="7" t="n"/>
      <c r="E257" s="7" t="n"/>
      <c r="F257" s="8">
        <f>IF(ISBLANK(B257),"",IF(I257="L","Baixa",IF(I257="A","Média",IF(I257="","","Alta"))))</f>
        <v/>
      </c>
      <c r="G257" s="7">
        <f>CONCATENATE(B257,I257)</f>
        <v/>
      </c>
      <c r="H257" s="5">
        <f>IF(ISBLANK(B257),"",IF(B257="ALI",IF(I257="L",7,IF(I257="A",10,15)),IF(B257="AIE",IF(I257="L",5,IF(I257="A",7,10)),IF(B257="SE",IF(I257="L",4,IF(I257="A",5,7)),IF(OR(B257="EE",B257="CE"),IF(I257="L",3,IF(I257="A",4,6)),0)))))</f>
        <v/>
      </c>
      <c r="I257" s="110">
        <f>IF(OR(ISBLANK(D257),ISBLANK(E257)),IF(OR(B257="ALI",B257="AIE"),"L",IF(OR(B257="EE",B257="SE",B257="CE"),"A","")),IF(B257="EE",IF(E257&gt;=3,IF(D257&gt;=5,"H","A"),IF(E257&gt;=2,IF(D257&gt;=16,"H",IF(D257&lt;=4,"L","A")),IF(D257&lt;=15,"L","A"))),IF(OR(B257="SE",B257="CE"),IF(E257&gt;=4,IF(D257&gt;=6,"H","A"),IF(E257&gt;=2,IF(D257&gt;=20,"H",IF(D257&lt;=5,"L","A")),IF(D257&lt;=19,"L","A"))),IF(OR(B257="ALI",B257="AIE"),IF(E257&gt;=6,IF(D257&gt;=20,"H","A"),IF(E257&gt;=2,IF(D257&gt;=51,"H",IF(D257&lt;=19,"L","A")),IF(D257&lt;=50,"L","A"))),""))))</f>
        <v/>
      </c>
      <c r="J257" s="7">
        <f>CONCATENATE(B257,C257)</f>
        <v/>
      </c>
      <c r="K257" s="9">
        <f>IF(OR(H257="",H257=0),L257,H257)</f>
        <v/>
      </c>
      <c r="L257" s="9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 t="n"/>
      <c r="N257" s="115" t="n"/>
      <c r="O257" s="6" t="n"/>
    </row>
    <row r="258">
      <c r="A258" s="112" t="n"/>
      <c r="B258" s="4" t="n"/>
      <c r="C258" s="4" t="n"/>
      <c r="D258" s="7" t="n"/>
      <c r="E258" s="7" t="n"/>
      <c r="F258" s="8">
        <f>IF(ISBLANK(B258),"",IF(I258="L","Baixa",IF(I258="A","Média",IF(I258="","","Alta"))))</f>
        <v/>
      </c>
      <c r="G258" s="7">
        <f>CONCATENATE(B258,I258)</f>
        <v/>
      </c>
      <c r="H258" s="5">
        <f>IF(ISBLANK(B258),"",IF(B258="ALI",IF(I258="L",7,IF(I258="A",10,15)),IF(B258="AIE",IF(I258="L",5,IF(I258="A",7,10)),IF(B258="SE",IF(I258="L",4,IF(I258="A",5,7)),IF(OR(B258="EE",B258="CE"),IF(I258="L",3,IF(I258="A",4,6)),0)))))</f>
        <v/>
      </c>
      <c r="I258" s="110">
        <f>IF(OR(ISBLANK(D258),ISBLANK(E258)),IF(OR(B258="ALI",B258="AIE"),"L",IF(OR(B258="EE",B258="SE",B258="CE"),"A","")),IF(B258="EE",IF(E258&gt;=3,IF(D258&gt;=5,"H","A"),IF(E258&gt;=2,IF(D258&gt;=16,"H",IF(D258&lt;=4,"L","A")),IF(D258&lt;=15,"L","A"))),IF(OR(B258="SE",B258="CE"),IF(E258&gt;=4,IF(D258&gt;=6,"H","A"),IF(E258&gt;=2,IF(D258&gt;=20,"H",IF(D258&lt;=5,"L","A")),IF(D258&lt;=19,"L","A"))),IF(OR(B258="ALI",B258="AIE"),IF(E258&gt;=6,IF(D258&gt;=20,"H","A"),IF(E258&gt;=2,IF(D258&gt;=51,"H",IF(D258&lt;=19,"L","A")),IF(D258&lt;=50,"L","A"))),""))))</f>
        <v/>
      </c>
      <c r="J258" s="7">
        <f>CONCATENATE(B258,C258)</f>
        <v/>
      </c>
      <c r="K258" s="9">
        <f>IF(OR(H258="",H258=0),L258,H258)</f>
        <v/>
      </c>
      <c r="L258" s="9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 t="n"/>
      <c r="N258" s="115" t="n"/>
      <c r="O258" s="6" t="n"/>
    </row>
    <row r="259">
      <c r="A259" s="112" t="n"/>
      <c r="B259" s="4" t="n"/>
      <c r="C259" s="4" t="n"/>
      <c r="D259" s="7" t="n"/>
      <c r="E259" s="7" t="n"/>
      <c r="F259" s="8">
        <f>IF(ISBLANK(B259),"",IF(I259="L","Baixa",IF(I259="A","Média",IF(I259="","","Alta"))))</f>
        <v/>
      </c>
      <c r="G259" s="7">
        <f>CONCATENATE(B259,I259)</f>
        <v/>
      </c>
      <c r="H259" s="5">
        <f>IF(ISBLANK(B259),"",IF(B259="ALI",IF(I259="L",7,IF(I259="A",10,15)),IF(B259="AIE",IF(I259="L",5,IF(I259="A",7,10)),IF(B259="SE",IF(I259="L",4,IF(I259="A",5,7)),IF(OR(B259="EE",B259="CE"),IF(I259="L",3,IF(I259="A",4,6)),0)))))</f>
        <v/>
      </c>
      <c r="I259" s="110">
        <f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>
        <f>CONCATENATE(B259,C259)</f>
        <v/>
      </c>
      <c r="K259" s="9">
        <f>IF(OR(H259="",H259=0),L259,H259)</f>
        <v/>
      </c>
      <c r="L259" s="9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 t="n"/>
      <c r="N259" s="115" t="n"/>
      <c r="O259" s="6" t="n"/>
    </row>
    <row r="260">
      <c r="A260" s="112" t="n"/>
      <c r="B260" s="4" t="n"/>
      <c r="C260" s="4" t="n"/>
      <c r="D260" s="7" t="n"/>
      <c r="E260" s="7" t="n"/>
      <c r="F260" s="8">
        <f>IF(ISBLANK(B260),"",IF(I260="L","Baixa",IF(I260="A","Média",IF(I260="","","Alta"))))</f>
        <v/>
      </c>
      <c r="G260" s="7">
        <f>CONCATENATE(B260,I260)</f>
        <v/>
      </c>
      <c r="H260" s="5">
        <f>IF(ISBLANK(B260),"",IF(B260="ALI",IF(I260="L",7,IF(I260="A",10,15)),IF(B260="AIE",IF(I260="L",5,IF(I260="A",7,10)),IF(B260="SE",IF(I260="L",4,IF(I260="A",5,7)),IF(OR(B260="EE",B260="CE"),IF(I260="L",3,IF(I260="A",4,6)),0)))))</f>
        <v/>
      </c>
      <c r="I260" s="110">
        <f>IF(OR(ISBLANK(D260),ISBLANK(E260)),IF(OR(B260="ALI",B260="AIE"),"L",IF(OR(B260="EE",B260="SE",B260="CE"),"A","")),IF(B260="EE",IF(E260&gt;=3,IF(D260&gt;=5,"H","A"),IF(E260&gt;=2,IF(D260&gt;=16,"H",IF(D260&lt;=4,"L","A")),IF(D260&lt;=15,"L","A"))),IF(OR(B260="SE",B260="CE"),IF(E260&gt;=4,IF(D260&gt;=6,"H","A"),IF(E260&gt;=2,IF(D260&gt;=20,"H",IF(D260&lt;=5,"L","A")),IF(D260&lt;=19,"L","A"))),IF(OR(B260="ALI",B260="AIE"),IF(E260&gt;=6,IF(D260&gt;=20,"H","A"),IF(E260&gt;=2,IF(D260&gt;=51,"H",IF(D260&lt;=19,"L","A")),IF(D260&lt;=50,"L","A"))),""))))</f>
        <v/>
      </c>
      <c r="J260" s="7">
        <f>CONCATENATE(B260,C260)</f>
        <v/>
      </c>
      <c r="K260" s="9">
        <f>IF(OR(H260="",H260=0),L260,H260)</f>
        <v/>
      </c>
      <c r="L260" s="9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 t="n"/>
      <c r="N260" s="115" t="n"/>
      <c r="O260" s="6" t="n"/>
    </row>
    <row r="261">
      <c r="A261" s="112" t="n"/>
      <c r="B261" s="4" t="n"/>
      <c r="C261" s="4" t="n"/>
      <c r="D261" s="7" t="n"/>
      <c r="E261" s="7" t="n"/>
      <c r="F261" s="8">
        <f>IF(ISBLANK(B261),"",IF(I261="L","Baixa",IF(I261="A","Média",IF(I261="","","Alta"))))</f>
        <v/>
      </c>
      <c r="G261" s="7">
        <f>CONCATENATE(B261,I261)</f>
        <v/>
      </c>
      <c r="H261" s="5">
        <f>IF(ISBLANK(B261),"",IF(B261="ALI",IF(I261="L",7,IF(I261="A",10,15)),IF(B261="AIE",IF(I261="L",5,IF(I261="A",7,10)),IF(B261="SE",IF(I261="L",4,IF(I261="A",5,7)),IF(OR(B261="EE",B261="CE"),IF(I261="L",3,IF(I261="A",4,6)),0)))))</f>
        <v/>
      </c>
      <c r="I261" s="110">
        <f>IF(OR(ISBLANK(D261),ISBLANK(E261)),IF(OR(B261="ALI",B261="AIE"),"L",IF(OR(B261="EE",B261="SE",B261="CE"),"A","")),IF(B261="EE",IF(E261&gt;=3,IF(D261&gt;=5,"H","A"),IF(E261&gt;=2,IF(D261&gt;=16,"H",IF(D261&lt;=4,"L","A")),IF(D261&lt;=15,"L","A"))),IF(OR(B261="SE",B261="CE"),IF(E261&gt;=4,IF(D261&gt;=6,"H","A"),IF(E261&gt;=2,IF(D261&gt;=20,"H",IF(D261&lt;=5,"L","A")),IF(D261&lt;=19,"L","A"))),IF(OR(B261="ALI",B261="AIE"),IF(E261&gt;=6,IF(D261&gt;=20,"H","A"),IF(E261&gt;=2,IF(D261&gt;=51,"H",IF(D261&lt;=19,"L","A")),IF(D261&lt;=50,"L","A"))),""))))</f>
        <v/>
      </c>
      <c r="J261" s="7">
        <f>CONCATENATE(B261,C261)</f>
        <v/>
      </c>
      <c r="K261" s="9">
        <f>IF(OR(H261="",H261=0),L261,H261)</f>
        <v/>
      </c>
      <c r="L261" s="9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 t="n"/>
      <c r="N261" s="115" t="n"/>
      <c r="O261" s="6" t="n"/>
    </row>
    <row r="262">
      <c r="A262" s="112" t="n"/>
      <c r="B262" s="4" t="n"/>
      <c r="C262" s="4" t="n"/>
      <c r="D262" s="7" t="n"/>
      <c r="E262" s="7" t="n"/>
      <c r="F262" s="8">
        <f>IF(ISBLANK(B262),"",IF(I262="L","Baixa",IF(I262="A","Média",IF(I262="","","Alta"))))</f>
        <v/>
      </c>
      <c r="G262" s="7">
        <f>CONCATENATE(B262,I262)</f>
        <v/>
      </c>
      <c r="H262" s="5">
        <f>IF(ISBLANK(B262),"",IF(B262="ALI",IF(I262="L",7,IF(I262="A",10,15)),IF(B262="AIE",IF(I262="L",5,IF(I262="A",7,10)),IF(B262="SE",IF(I262="L",4,IF(I262="A",5,7)),IF(OR(B262="EE",B262="CE"),IF(I262="L",3,IF(I262="A",4,6)),0)))))</f>
        <v/>
      </c>
      <c r="I262" s="110">
        <f>IF(OR(ISBLANK(D262),ISBLANK(E262)),IF(OR(B262="ALI",B262="AIE"),"L",IF(OR(B262="EE",B262="SE",B262="CE"),"A","")),IF(B262="EE",IF(E262&gt;=3,IF(D262&gt;=5,"H","A"),IF(E262&gt;=2,IF(D262&gt;=16,"H",IF(D262&lt;=4,"L","A")),IF(D262&lt;=15,"L","A"))),IF(OR(B262="SE",B262="CE"),IF(E262&gt;=4,IF(D262&gt;=6,"H","A"),IF(E262&gt;=2,IF(D262&gt;=20,"H",IF(D262&lt;=5,"L","A")),IF(D262&lt;=19,"L","A"))),IF(OR(B262="ALI",B262="AIE"),IF(E262&gt;=6,IF(D262&gt;=20,"H","A"),IF(E262&gt;=2,IF(D262&gt;=51,"H",IF(D262&lt;=19,"L","A")),IF(D262&lt;=50,"L","A"))),""))))</f>
        <v/>
      </c>
      <c r="J262" s="7">
        <f>CONCATENATE(B262,C262)</f>
        <v/>
      </c>
      <c r="K262" s="9">
        <f>IF(OR(H262="",H262=0),L262,H262)</f>
        <v/>
      </c>
      <c r="L262" s="9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 t="n"/>
      <c r="N262" s="115" t="n"/>
      <c r="O262" s="6" t="n"/>
    </row>
    <row r="263">
      <c r="A263" s="112" t="n"/>
      <c r="B263" s="4" t="n"/>
      <c r="C263" s="4" t="n"/>
      <c r="D263" s="7" t="n"/>
      <c r="E263" s="7" t="n"/>
      <c r="F263" s="8">
        <f>IF(ISBLANK(B263),"",IF(I263="L","Baixa",IF(I263="A","Média",IF(I263="","","Alta"))))</f>
        <v/>
      </c>
      <c r="G263" s="7">
        <f>CONCATENATE(B263,I263)</f>
        <v/>
      </c>
      <c r="H263" s="5">
        <f>IF(ISBLANK(B263),"",IF(B263="ALI",IF(I263="L",7,IF(I263="A",10,15)),IF(B263="AIE",IF(I263="L",5,IF(I263="A",7,10)),IF(B263="SE",IF(I263="L",4,IF(I263="A",5,7)),IF(OR(B263="EE",B263="CE"),IF(I263="L",3,IF(I263="A",4,6)),0)))))</f>
        <v/>
      </c>
      <c r="I263" s="110">
        <f>IF(OR(ISBLANK(D263),ISBLANK(E263)),IF(OR(B263="ALI",B263="AIE"),"L",IF(OR(B263="EE",B263="SE",B263="CE"),"A","")),IF(B263="EE",IF(E263&gt;=3,IF(D263&gt;=5,"H","A"),IF(E263&gt;=2,IF(D263&gt;=16,"H",IF(D263&lt;=4,"L","A")),IF(D263&lt;=15,"L","A"))),IF(OR(B263="SE",B263="CE"),IF(E263&gt;=4,IF(D263&gt;=6,"H","A"),IF(E263&gt;=2,IF(D263&gt;=20,"H",IF(D263&lt;=5,"L","A")),IF(D263&lt;=19,"L","A"))),IF(OR(B263="ALI",B263="AIE"),IF(E263&gt;=6,IF(D263&gt;=20,"H","A"),IF(E263&gt;=2,IF(D263&gt;=51,"H",IF(D263&lt;=19,"L","A")),IF(D263&lt;=50,"L","A"))),""))))</f>
        <v/>
      </c>
      <c r="J263" s="7">
        <f>CONCATENATE(B263,C263)</f>
        <v/>
      </c>
      <c r="K263" s="9">
        <f>IF(OR(H263="",H263=0),L263,H263)</f>
        <v/>
      </c>
      <c r="L263" s="9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 t="n"/>
      <c r="N263" s="115" t="n"/>
      <c r="O263" s="6" t="n"/>
    </row>
    <row r="264">
      <c r="A264" s="112" t="n"/>
      <c r="B264" s="4" t="n"/>
      <c r="C264" s="4" t="n"/>
      <c r="D264" s="7" t="n"/>
      <c r="E264" s="7" t="n"/>
      <c r="F264" s="8">
        <f>IF(ISBLANK(B264),"",IF(I264="L","Baixa",IF(I264="A","Média",IF(I264="","","Alta"))))</f>
        <v/>
      </c>
      <c r="G264" s="7">
        <f>CONCATENATE(B264,I264)</f>
        <v/>
      </c>
      <c r="H264" s="5">
        <f>IF(ISBLANK(B264),"",IF(B264="ALI",IF(I264="L",7,IF(I264="A",10,15)),IF(B264="AIE",IF(I264="L",5,IF(I264="A",7,10)),IF(B264="SE",IF(I264="L",4,IF(I264="A",5,7)),IF(OR(B264="EE",B264="CE"),IF(I264="L",3,IF(I264="A",4,6)),0)))))</f>
        <v/>
      </c>
      <c r="I264" s="110">
        <f>IF(OR(ISBLANK(D264),ISBLANK(E264)),IF(OR(B264="ALI",B264="AIE"),"L",IF(OR(B264="EE",B264="SE",B264="CE"),"A","")),IF(B264="EE",IF(E264&gt;=3,IF(D264&gt;=5,"H","A"),IF(E264&gt;=2,IF(D264&gt;=16,"H",IF(D264&lt;=4,"L","A")),IF(D264&lt;=15,"L","A"))),IF(OR(B264="SE",B264="CE"),IF(E264&gt;=4,IF(D264&gt;=6,"H","A"),IF(E264&gt;=2,IF(D264&gt;=20,"H",IF(D264&lt;=5,"L","A")),IF(D264&lt;=19,"L","A"))),IF(OR(B264="ALI",B264="AIE"),IF(E264&gt;=6,IF(D264&gt;=20,"H","A"),IF(E264&gt;=2,IF(D264&gt;=51,"H",IF(D264&lt;=19,"L","A")),IF(D264&lt;=50,"L","A"))),""))))</f>
        <v/>
      </c>
      <c r="J264" s="7">
        <f>CONCATENATE(B264,C264)</f>
        <v/>
      </c>
      <c r="K264" s="9">
        <f>IF(OR(H264="",H264=0),L264,H264)</f>
        <v/>
      </c>
      <c r="L264" s="9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 t="n"/>
      <c r="N264" s="115" t="n"/>
      <c r="O264" s="6" t="n"/>
    </row>
    <row r="265">
      <c r="A265" s="112" t="n"/>
      <c r="B265" s="4" t="n"/>
      <c r="C265" s="4" t="n"/>
      <c r="D265" s="7" t="n"/>
      <c r="E265" s="7" t="n"/>
      <c r="F265" s="8">
        <f>IF(ISBLANK(B265),"",IF(I265="L","Baixa",IF(I265="A","Média",IF(I265="","","Alta"))))</f>
        <v/>
      </c>
      <c r="G265" s="7">
        <f>CONCATENATE(B265,I265)</f>
        <v/>
      </c>
      <c r="H265" s="5">
        <f>IF(ISBLANK(B265),"",IF(B265="ALI",IF(I265="L",7,IF(I265="A",10,15)),IF(B265="AIE",IF(I265="L",5,IF(I265="A",7,10)),IF(B265="SE",IF(I265="L",4,IF(I265="A",5,7)),IF(OR(B265="EE",B265="CE"),IF(I265="L",3,IF(I265="A",4,6)),0)))))</f>
        <v/>
      </c>
      <c r="I265" s="110">
        <f>IF(OR(ISBLANK(D265),ISBLANK(E265)),IF(OR(B265="ALI",B265="AIE"),"L",IF(OR(B265="EE",B265="SE",B265="CE"),"A","")),IF(B265="EE",IF(E265&gt;=3,IF(D265&gt;=5,"H","A"),IF(E265&gt;=2,IF(D265&gt;=16,"H",IF(D265&lt;=4,"L","A")),IF(D265&lt;=15,"L","A"))),IF(OR(B265="SE",B265="CE"),IF(E265&gt;=4,IF(D265&gt;=6,"H","A"),IF(E265&gt;=2,IF(D265&gt;=20,"H",IF(D265&lt;=5,"L","A")),IF(D265&lt;=19,"L","A"))),IF(OR(B265="ALI",B265="AIE"),IF(E265&gt;=6,IF(D265&gt;=20,"H","A"),IF(E265&gt;=2,IF(D265&gt;=51,"H",IF(D265&lt;=19,"L","A")),IF(D265&lt;=50,"L","A"))),""))))</f>
        <v/>
      </c>
      <c r="J265" s="7">
        <f>CONCATENATE(B265,C265)</f>
        <v/>
      </c>
      <c r="K265" s="9">
        <f>IF(OR(H265="",H265=0),L265,H265)</f>
        <v/>
      </c>
      <c r="L265" s="9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 t="n"/>
      <c r="N265" s="115" t="n"/>
      <c r="O265" s="6" t="n"/>
    </row>
    <row r="266">
      <c r="A266" s="112" t="n"/>
      <c r="B266" s="4" t="n"/>
      <c r="C266" s="4" t="n"/>
      <c r="D266" s="7" t="n"/>
      <c r="E266" s="7" t="n"/>
      <c r="F266" s="8">
        <f>IF(ISBLANK(B266),"",IF(I266="L","Baixa",IF(I266="A","Média",IF(I266="","","Alta"))))</f>
        <v/>
      </c>
      <c r="G266" s="7">
        <f>CONCATENATE(B266,I266)</f>
        <v/>
      </c>
      <c r="H266" s="5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10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>
        <f>CONCATENATE(B266,C266)</f>
        <v/>
      </c>
      <c r="K266" s="9">
        <f>IF(OR(H266="",H266=0),L266,H266)</f>
        <v/>
      </c>
      <c r="L266" s="9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 t="n"/>
      <c r="N266" s="115" t="n"/>
      <c r="O266" s="6" t="n"/>
    </row>
    <row r="267">
      <c r="A267" s="112" t="n"/>
      <c r="B267" s="4" t="n"/>
      <c r="C267" s="4" t="n"/>
      <c r="D267" s="7" t="n"/>
      <c r="E267" s="7" t="n"/>
      <c r="F267" s="8">
        <f>IF(ISBLANK(B267),"",IF(I267="L","Baixa",IF(I267="A","Média",IF(I267="","","Alta"))))</f>
        <v/>
      </c>
      <c r="G267" s="7">
        <f>CONCATENATE(B267,I267)</f>
        <v/>
      </c>
      <c r="H267" s="5">
        <f>IF(ISBLANK(B267),"",IF(B267="ALI",IF(I267="L",7,IF(I267="A",10,15)),IF(B267="AIE",IF(I267="L",5,IF(I267="A",7,10)),IF(B267="SE",IF(I267="L",4,IF(I267="A",5,7)),IF(OR(B267="EE",B267="CE"),IF(I267="L",3,IF(I267="A",4,6)),0)))))</f>
        <v/>
      </c>
      <c r="I267" s="110">
        <f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>
        <f>CONCATENATE(B267,C267)</f>
        <v/>
      </c>
      <c r="K267" s="9">
        <f>IF(OR(H267="",H267=0),L267,H267)</f>
        <v/>
      </c>
      <c r="L267" s="9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 t="n"/>
      <c r="N267" s="115" t="n"/>
      <c r="O267" s="6" t="n"/>
    </row>
    <row r="268">
      <c r="A268" s="112" t="n"/>
      <c r="B268" s="4" t="n"/>
      <c r="C268" s="4" t="n"/>
      <c r="D268" s="7" t="n"/>
      <c r="E268" s="7" t="n"/>
      <c r="F268" s="8">
        <f>IF(ISBLANK(B268),"",IF(I268="L","Baixa",IF(I268="A","Média",IF(I268="","","Alta"))))</f>
        <v/>
      </c>
      <c r="G268" s="7">
        <f>CONCATENATE(B268,I268)</f>
        <v/>
      </c>
      <c r="H268" s="5">
        <f>IF(ISBLANK(B268),"",IF(B268="ALI",IF(I268="L",7,IF(I268="A",10,15)),IF(B268="AIE",IF(I268="L",5,IF(I268="A",7,10)),IF(B268="SE",IF(I268="L",4,IF(I268="A",5,7)),IF(OR(B268="EE",B268="CE"),IF(I268="L",3,IF(I268="A",4,6)),0)))))</f>
        <v/>
      </c>
      <c r="I268" s="110">
        <f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7">
        <f>CONCATENATE(B268,C268)</f>
        <v/>
      </c>
      <c r="K268" s="9">
        <f>IF(OR(H268="",H268=0),L268,H268)</f>
        <v/>
      </c>
      <c r="L268" s="9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 t="n"/>
      <c r="N268" s="115" t="n"/>
      <c r="O268" s="6" t="n"/>
    </row>
    <row r="269">
      <c r="A269" s="112" t="n"/>
      <c r="B269" s="4" t="n"/>
      <c r="C269" s="4" t="n"/>
      <c r="D269" s="7" t="n"/>
      <c r="E269" s="7" t="n"/>
      <c r="F269" s="8">
        <f>IF(ISBLANK(B269),"",IF(I269="L","Baixa",IF(I269="A","Média",IF(I269="","","Alta"))))</f>
        <v/>
      </c>
      <c r="G269" s="7">
        <f>CONCATENATE(B269,I269)</f>
        <v/>
      </c>
      <c r="H269" s="5">
        <f>IF(ISBLANK(B269),"",IF(B269="ALI",IF(I269="L",7,IF(I269="A",10,15)),IF(B269="AIE",IF(I269="L",5,IF(I269="A",7,10)),IF(B269="SE",IF(I269="L",4,IF(I269="A",5,7)),IF(OR(B269="EE",B269="CE"),IF(I269="L",3,IF(I269="A",4,6)),0)))))</f>
        <v/>
      </c>
      <c r="I269" s="110">
        <f>IF(OR(ISBLANK(D269),ISBLANK(E269)),IF(OR(B269="ALI",B269="AIE"),"L",IF(OR(B269="EE",B269="SE",B269="CE"),"A","")),IF(B269="EE",IF(E269&gt;=3,IF(D269&gt;=5,"H","A"),IF(E269&gt;=2,IF(D269&gt;=16,"H",IF(D269&lt;=4,"L","A")),IF(D269&lt;=15,"L","A"))),IF(OR(B269="SE",B269="CE"),IF(E269&gt;=4,IF(D269&gt;=6,"H","A"),IF(E269&gt;=2,IF(D269&gt;=20,"H",IF(D269&lt;=5,"L","A")),IF(D269&lt;=19,"L","A"))),IF(OR(B269="ALI",B269="AIE"),IF(E269&gt;=6,IF(D269&gt;=20,"H","A"),IF(E269&gt;=2,IF(D269&gt;=51,"H",IF(D269&lt;=19,"L","A")),IF(D269&lt;=50,"L","A"))),""))))</f>
        <v/>
      </c>
      <c r="J269" s="7">
        <f>CONCATENATE(B269,C269)</f>
        <v/>
      </c>
      <c r="K269" s="9">
        <f>IF(OR(H269="",H269=0),L269,H269)</f>
        <v/>
      </c>
      <c r="L269" s="9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 t="n"/>
      <c r="N269" s="115" t="n"/>
      <c r="O269" s="6" t="n"/>
    </row>
    <row r="270">
      <c r="A270" s="112" t="n"/>
      <c r="B270" s="4" t="n"/>
      <c r="C270" s="4" t="n"/>
      <c r="D270" s="7" t="n"/>
      <c r="E270" s="7" t="n"/>
      <c r="F270" s="8">
        <f>IF(ISBLANK(B270),"",IF(I270="L","Baixa",IF(I270="A","Média",IF(I270="","","Alta"))))</f>
        <v/>
      </c>
      <c r="G270" s="7">
        <f>CONCATENATE(B270,I270)</f>
        <v/>
      </c>
      <c r="H270" s="5">
        <f>IF(ISBLANK(B270),"",IF(B270="ALI",IF(I270="L",7,IF(I270="A",10,15)),IF(B270="AIE",IF(I270="L",5,IF(I270="A",7,10)),IF(B270="SE",IF(I270="L",4,IF(I270="A",5,7)),IF(OR(B270="EE",B270="CE"),IF(I270="L",3,IF(I270="A",4,6)),0)))))</f>
        <v/>
      </c>
      <c r="I270" s="110">
        <f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/>
      </c>
      <c r="J270" s="7">
        <f>CONCATENATE(B270,C270)</f>
        <v/>
      </c>
      <c r="K270" s="9">
        <f>IF(OR(H270="",H270=0),L270,H270)</f>
        <v/>
      </c>
      <c r="L270" s="9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 t="n"/>
      <c r="N270" s="115" t="n"/>
      <c r="O270" s="6" t="n"/>
    </row>
    <row r="271">
      <c r="A271" s="112" t="n"/>
      <c r="B271" s="4" t="n"/>
      <c r="C271" s="4" t="n"/>
      <c r="D271" s="7" t="n"/>
      <c r="E271" s="7" t="n"/>
      <c r="F271" s="8">
        <f>IF(ISBLANK(B271),"",IF(I271="L","Baixa",IF(I271="A","Média",IF(I271="","","Alta"))))</f>
        <v/>
      </c>
      <c r="G271" s="7">
        <f>CONCATENATE(B271,I271)</f>
        <v/>
      </c>
      <c r="H271" s="5">
        <f>IF(ISBLANK(B271),"",IF(B271="ALI",IF(I271="L",7,IF(I271="A",10,15)),IF(B271="AIE",IF(I271="L",5,IF(I271="A",7,10)),IF(B271="SE",IF(I271="L",4,IF(I271="A",5,7)),IF(OR(B271="EE",B271="CE"),IF(I271="L",3,IF(I271="A",4,6)),0)))))</f>
        <v/>
      </c>
      <c r="I271" s="110">
        <f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/>
      </c>
      <c r="J271" s="7">
        <f>CONCATENATE(B271,C271)</f>
        <v/>
      </c>
      <c r="K271" s="9">
        <f>IF(OR(H271="",H271=0),L271,H271)</f>
        <v/>
      </c>
      <c r="L271" s="9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 t="n"/>
      <c r="N271" s="115" t="n"/>
      <c r="O271" s="6" t="n"/>
    </row>
    <row r="272">
      <c r="A272" s="112" t="n"/>
      <c r="B272" s="4" t="n"/>
      <c r="C272" s="4" t="n"/>
      <c r="D272" s="7" t="n"/>
      <c r="E272" s="7" t="n"/>
      <c r="F272" s="8">
        <f>IF(ISBLANK(B272),"",IF(I272="L","Baixa",IF(I272="A","Média",IF(I272="","","Alta"))))</f>
        <v/>
      </c>
      <c r="G272" s="7">
        <f>CONCATENATE(B272,I272)</f>
        <v/>
      </c>
      <c r="H272" s="5">
        <f>IF(ISBLANK(B272),"",IF(B272="ALI",IF(I272="L",7,IF(I272="A",10,15)),IF(B272="AIE",IF(I272="L",5,IF(I272="A",7,10)),IF(B272="SE",IF(I272="L",4,IF(I272="A",5,7)),IF(OR(B272="EE",B272="CE"),IF(I272="L",3,IF(I272="A",4,6)),0)))))</f>
        <v/>
      </c>
      <c r="I272" s="110">
        <f>IF(OR(ISBLANK(D272),ISBLANK(E272)),IF(OR(B272="ALI",B272="AIE"),"L",IF(OR(B272="EE",B272="SE",B272="CE"),"A","")),IF(B272="EE",IF(E272&gt;=3,IF(D272&gt;=5,"H","A"),IF(E272&gt;=2,IF(D272&gt;=16,"H",IF(D272&lt;=4,"L","A")),IF(D272&lt;=15,"L","A"))),IF(OR(B272="SE",B272="CE"),IF(E272&gt;=4,IF(D272&gt;=6,"H","A"),IF(E272&gt;=2,IF(D272&gt;=20,"H",IF(D272&lt;=5,"L","A")),IF(D272&lt;=19,"L","A"))),IF(OR(B272="ALI",B272="AIE"),IF(E272&gt;=6,IF(D272&gt;=20,"H","A"),IF(E272&gt;=2,IF(D272&gt;=51,"H",IF(D272&lt;=19,"L","A")),IF(D272&lt;=50,"L","A"))),""))))</f>
        <v/>
      </c>
      <c r="J272" s="7">
        <f>CONCATENATE(B272,C272)</f>
        <v/>
      </c>
      <c r="K272" s="9">
        <f>IF(OR(H272="",H272=0),L272,H272)</f>
        <v/>
      </c>
      <c r="L272" s="9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 t="n"/>
      <c r="N272" s="115" t="n"/>
      <c r="O272" s="6" t="n"/>
    </row>
    <row r="273">
      <c r="A273" s="112" t="n"/>
      <c r="B273" s="4" t="n"/>
      <c r="C273" s="4" t="n"/>
      <c r="D273" s="7" t="n"/>
      <c r="E273" s="7" t="n"/>
      <c r="F273" s="8">
        <f>IF(ISBLANK(B273),"",IF(I273="L","Baixa",IF(I273="A","Média",IF(I273="","","Alta"))))</f>
        <v/>
      </c>
      <c r="G273" s="7">
        <f>CONCATENATE(B273,I273)</f>
        <v/>
      </c>
      <c r="H273" s="5">
        <f>IF(ISBLANK(B273),"",IF(B273="ALI",IF(I273="L",7,IF(I273="A",10,15)),IF(B273="AIE",IF(I273="L",5,IF(I273="A",7,10)),IF(B273="SE",IF(I273="L",4,IF(I273="A",5,7)),IF(OR(B273="EE",B273="CE"),IF(I273="L",3,IF(I273="A",4,6)),0)))))</f>
        <v/>
      </c>
      <c r="I273" s="110">
        <f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/>
      </c>
      <c r="J273" s="7">
        <f>CONCATENATE(B273,C273)</f>
        <v/>
      </c>
      <c r="K273" s="9">
        <f>IF(OR(H273="",H273=0),L273,H273)</f>
        <v/>
      </c>
      <c r="L273" s="9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 t="n"/>
      <c r="N273" s="115" t="n"/>
      <c r="O273" s="6" t="n"/>
    </row>
    <row r="274">
      <c r="A274" s="112" t="n"/>
      <c r="B274" s="4" t="n"/>
      <c r="C274" s="4" t="n"/>
      <c r="D274" s="7" t="n"/>
      <c r="E274" s="7" t="n"/>
      <c r="F274" s="8">
        <f>IF(ISBLANK(B274),"",IF(I274="L","Baixa",IF(I274="A","Média",IF(I274="","","Alta"))))</f>
        <v/>
      </c>
      <c r="G274" s="7">
        <f>CONCATENATE(B274,I274)</f>
        <v/>
      </c>
      <c r="H274" s="5">
        <f>IF(ISBLANK(B274),"",IF(B274="ALI",IF(I274="L",7,IF(I274="A",10,15)),IF(B274="AIE",IF(I274="L",5,IF(I274="A",7,10)),IF(B274="SE",IF(I274="L",4,IF(I274="A",5,7)),IF(OR(B274="EE",B274="CE"),IF(I274="L",3,IF(I274="A",4,6)),0)))))</f>
        <v/>
      </c>
      <c r="I274" s="110">
        <f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7">
        <f>CONCATENATE(B274,C274)</f>
        <v/>
      </c>
      <c r="K274" s="9">
        <f>IF(OR(H274="",H274=0),L274,H274)</f>
        <v/>
      </c>
      <c r="L274" s="9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 t="n"/>
      <c r="N274" s="115" t="n"/>
      <c r="O274" s="6" t="n"/>
    </row>
    <row r="275">
      <c r="A275" s="112" t="n"/>
      <c r="B275" s="4" t="n"/>
      <c r="C275" s="4" t="n"/>
      <c r="D275" s="7" t="n"/>
      <c r="E275" s="7" t="n"/>
      <c r="F275" s="8">
        <f>IF(ISBLANK(B275),"",IF(I275="L","Baixa",IF(I275="A","Média",IF(I275="","","Alta"))))</f>
        <v/>
      </c>
      <c r="G275" s="7">
        <f>CONCATENATE(B275,I275)</f>
        <v/>
      </c>
      <c r="H275" s="5">
        <f>IF(ISBLANK(B275),"",IF(B275="ALI",IF(I275="L",7,IF(I275="A",10,15)),IF(B275="AIE",IF(I275="L",5,IF(I275="A",7,10)),IF(B275="SE",IF(I275="L",4,IF(I275="A",5,7)),IF(OR(B275="EE",B275="CE"),IF(I275="L",3,IF(I275="A",4,6)),0)))))</f>
        <v/>
      </c>
      <c r="I275" s="110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7">
        <f>CONCATENATE(B275,C275)</f>
        <v/>
      </c>
      <c r="K275" s="9">
        <f>IF(OR(H275="",H275=0),L275,H275)</f>
        <v/>
      </c>
      <c r="L275" s="9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 t="n"/>
      <c r="N275" s="115" t="n"/>
      <c r="O275" s="6" t="n"/>
    </row>
    <row r="276">
      <c r="A276" s="112" t="n"/>
      <c r="B276" s="4" t="n"/>
      <c r="C276" s="4" t="n"/>
      <c r="D276" s="7" t="n"/>
      <c r="E276" s="7" t="n"/>
      <c r="F276" s="8">
        <f>IF(ISBLANK(B276),"",IF(I276="L","Baixa",IF(I276="A","Média",IF(I276="","","Alta"))))</f>
        <v/>
      </c>
      <c r="G276" s="7">
        <f>CONCATENATE(B276,I276)</f>
        <v/>
      </c>
      <c r="H276" s="5">
        <f>IF(ISBLANK(B276),"",IF(B276="ALI",IF(I276="L",7,IF(I276="A",10,15)),IF(B276="AIE",IF(I276="L",5,IF(I276="A",7,10)),IF(B276="SE",IF(I276="L",4,IF(I276="A",5,7)),IF(OR(B276="EE",B276="CE"),IF(I276="L",3,IF(I276="A",4,6)),0)))))</f>
        <v/>
      </c>
      <c r="I276" s="110">
        <f>IF(OR(ISBLANK(D276),ISBLANK(E276)),IF(OR(B276="ALI",B276="AIE"),"L",IF(OR(B276="EE",B276="SE",B276="CE"),"A","")),IF(B276="EE",IF(E276&gt;=3,IF(D276&gt;=5,"H","A"),IF(E276&gt;=2,IF(D276&gt;=16,"H",IF(D276&lt;=4,"L","A")),IF(D276&lt;=15,"L","A"))),IF(OR(B276="SE",B276="CE"),IF(E276&gt;=4,IF(D276&gt;=6,"H","A"),IF(E276&gt;=2,IF(D276&gt;=20,"H",IF(D276&lt;=5,"L","A")),IF(D276&lt;=19,"L","A"))),IF(OR(B276="ALI",B276="AIE"),IF(E276&gt;=6,IF(D276&gt;=20,"H","A"),IF(E276&gt;=2,IF(D276&gt;=51,"H",IF(D276&lt;=19,"L","A")),IF(D276&lt;=50,"L","A"))),""))))</f>
        <v/>
      </c>
      <c r="J276" s="7">
        <f>CONCATENATE(B276,C276)</f>
        <v/>
      </c>
      <c r="K276" s="9">
        <f>IF(OR(H276="",H276=0),L276,H276)</f>
        <v/>
      </c>
      <c r="L276" s="9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 t="n"/>
      <c r="N276" s="115" t="n"/>
      <c r="O276" s="6" t="n"/>
    </row>
    <row r="277">
      <c r="A277" s="112" t="n"/>
      <c r="B277" s="4" t="n"/>
      <c r="C277" s="4" t="n"/>
      <c r="D277" s="7" t="n"/>
      <c r="E277" s="7" t="n"/>
      <c r="F277" s="8">
        <f>IF(ISBLANK(B277),"",IF(I277="L","Baixa",IF(I277="A","Média",IF(I277="","","Alta"))))</f>
        <v/>
      </c>
      <c r="G277" s="7">
        <f>CONCATENATE(B277,I277)</f>
        <v/>
      </c>
      <c r="H277" s="5">
        <f>IF(ISBLANK(B277),"",IF(B277="ALI",IF(I277="L",7,IF(I277="A",10,15)),IF(B277="AIE",IF(I277="L",5,IF(I277="A",7,10)),IF(B277="SE",IF(I277="L",4,IF(I277="A",5,7)),IF(OR(B277="EE",B277="CE"),IF(I277="L",3,IF(I277="A",4,6)),0)))))</f>
        <v/>
      </c>
      <c r="I277" s="110">
        <f>IF(OR(ISBLANK(D277),ISBLANK(E277)),IF(OR(B277="ALI",B277="AIE"),"L",IF(OR(B277="EE",B277="SE",B277="CE"),"A","")),IF(B277="EE",IF(E277&gt;=3,IF(D277&gt;=5,"H","A"),IF(E277&gt;=2,IF(D277&gt;=16,"H",IF(D277&lt;=4,"L","A")),IF(D277&lt;=15,"L","A"))),IF(OR(B277="SE",B277="CE"),IF(E277&gt;=4,IF(D277&gt;=6,"H","A"),IF(E277&gt;=2,IF(D277&gt;=20,"H",IF(D277&lt;=5,"L","A")),IF(D277&lt;=19,"L","A"))),IF(OR(B277="ALI",B277="AIE"),IF(E277&gt;=6,IF(D277&gt;=20,"H","A"),IF(E277&gt;=2,IF(D277&gt;=51,"H",IF(D277&lt;=19,"L","A")),IF(D277&lt;=50,"L","A"))),""))))</f>
        <v/>
      </c>
      <c r="J277" s="7">
        <f>CONCATENATE(B277,C277)</f>
        <v/>
      </c>
      <c r="K277" s="9">
        <f>IF(OR(H277="",H277=0),L277,H277)</f>
        <v/>
      </c>
      <c r="L277" s="9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 t="n"/>
      <c r="N277" s="115" t="n"/>
      <c r="O277" s="6" t="n"/>
    </row>
    <row r="278">
      <c r="A278" s="112" t="n"/>
      <c r="B278" s="4" t="n"/>
      <c r="C278" s="4" t="n"/>
      <c r="D278" s="7" t="n"/>
      <c r="E278" s="7" t="n"/>
      <c r="F278" s="8">
        <f>IF(ISBLANK(B278),"",IF(I278="L","Baixa",IF(I278="A","Média",IF(I278="","","Alta"))))</f>
        <v/>
      </c>
      <c r="G278" s="7">
        <f>CONCATENATE(B278,I278)</f>
        <v/>
      </c>
      <c r="H278" s="5">
        <f>IF(ISBLANK(B278),"",IF(B278="ALI",IF(I278="L",7,IF(I278="A",10,15)),IF(B278="AIE",IF(I278="L",5,IF(I278="A",7,10)),IF(B278="SE",IF(I278="L",4,IF(I278="A",5,7)),IF(OR(B278="EE",B278="CE"),IF(I278="L",3,IF(I278="A",4,6)),0)))))</f>
        <v/>
      </c>
      <c r="I278" s="110">
        <f>IF(OR(ISBLANK(D278),ISBLANK(E278)),IF(OR(B278="ALI",B278="AIE"),"L",IF(OR(B278="EE",B278="SE",B278="CE"),"A","")),IF(B278="EE",IF(E278&gt;=3,IF(D278&gt;=5,"H","A"),IF(E278&gt;=2,IF(D278&gt;=16,"H",IF(D278&lt;=4,"L","A")),IF(D278&lt;=15,"L","A"))),IF(OR(B278="SE",B278="CE"),IF(E278&gt;=4,IF(D278&gt;=6,"H","A"),IF(E278&gt;=2,IF(D278&gt;=20,"H",IF(D278&lt;=5,"L","A")),IF(D278&lt;=19,"L","A"))),IF(OR(B278="ALI",B278="AIE"),IF(E278&gt;=6,IF(D278&gt;=20,"H","A"),IF(E278&gt;=2,IF(D278&gt;=51,"H",IF(D278&lt;=19,"L","A")),IF(D278&lt;=50,"L","A"))),""))))</f>
        <v/>
      </c>
      <c r="J278" s="7">
        <f>CONCATENATE(B278,C278)</f>
        <v/>
      </c>
      <c r="K278" s="9">
        <f>IF(OR(H278="",H278=0),L278,H278)</f>
        <v/>
      </c>
      <c r="L278" s="9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 t="n"/>
      <c r="N278" s="115" t="n"/>
      <c r="O278" s="6" t="n"/>
    </row>
    <row r="279">
      <c r="A279" s="112" t="n"/>
      <c r="B279" s="4" t="n"/>
      <c r="C279" s="4" t="n"/>
      <c r="D279" s="7" t="n"/>
      <c r="E279" s="7" t="n"/>
      <c r="F279" s="8">
        <f>IF(ISBLANK(B279),"",IF(I279="L","Baixa",IF(I279="A","Média",IF(I279="","","Alta"))))</f>
        <v/>
      </c>
      <c r="G279" s="7">
        <f>CONCATENATE(B279,I279)</f>
        <v/>
      </c>
      <c r="H279" s="5">
        <f>IF(ISBLANK(B279),"",IF(B279="ALI",IF(I279="L",7,IF(I279="A",10,15)),IF(B279="AIE",IF(I279="L",5,IF(I279="A",7,10)),IF(B279="SE",IF(I279="L",4,IF(I279="A",5,7)),IF(OR(B279="EE",B279="CE"),IF(I279="L",3,IF(I279="A",4,6)),0)))))</f>
        <v/>
      </c>
      <c r="I279" s="110">
        <f>IF(OR(ISBLANK(D279),ISBLANK(E279)),IF(OR(B279="ALI",B279="AIE"),"L",IF(OR(B279="EE",B279="SE",B279="CE"),"A","")),IF(B279="EE",IF(E279&gt;=3,IF(D279&gt;=5,"H","A"),IF(E279&gt;=2,IF(D279&gt;=16,"H",IF(D279&lt;=4,"L","A")),IF(D279&lt;=15,"L","A"))),IF(OR(B279="SE",B279="CE"),IF(E279&gt;=4,IF(D279&gt;=6,"H","A"),IF(E279&gt;=2,IF(D279&gt;=20,"H",IF(D279&lt;=5,"L","A")),IF(D279&lt;=19,"L","A"))),IF(OR(B279="ALI",B279="AIE"),IF(E279&gt;=6,IF(D279&gt;=20,"H","A"),IF(E279&gt;=2,IF(D279&gt;=51,"H",IF(D279&lt;=19,"L","A")),IF(D279&lt;=50,"L","A"))),""))))</f>
        <v/>
      </c>
      <c r="J279" s="7">
        <f>CONCATENATE(B279,C279)</f>
        <v/>
      </c>
      <c r="K279" s="9">
        <f>IF(OR(H279="",H279=0),L279,H279)</f>
        <v/>
      </c>
      <c r="L279" s="9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 t="n"/>
      <c r="N279" s="115" t="n"/>
      <c r="O279" s="6" t="n"/>
    </row>
    <row r="280">
      <c r="A280" s="112" t="n"/>
      <c r="B280" s="4" t="n"/>
      <c r="C280" s="4" t="n"/>
      <c r="D280" s="7" t="n"/>
      <c r="E280" s="7" t="n"/>
      <c r="F280" s="8">
        <f>IF(ISBLANK(B280),"",IF(I280="L","Baixa",IF(I280="A","Média",IF(I280="","","Alta"))))</f>
        <v/>
      </c>
      <c r="G280" s="7">
        <f>CONCATENATE(B280,I280)</f>
        <v/>
      </c>
      <c r="H280" s="5">
        <f>IF(ISBLANK(B280),"",IF(B280="ALI",IF(I280="L",7,IF(I280="A",10,15)),IF(B280="AIE",IF(I280="L",5,IF(I280="A",7,10)),IF(B280="SE",IF(I280="L",4,IF(I280="A",5,7)),IF(OR(B280="EE",B280="CE"),IF(I280="L",3,IF(I280="A",4,6)),0)))))</f>
        <v/>
      </c>
      <c r="I280" s="110">
        <f>IF(OR(ISBLANK(D280),ISBLANK(E280)),IF(OR(B280="ALI",B280="AIE"),"L",IF(OR(B280="EE",B280="SE",B280="CE"),"A","")),IF(B280="EE",IF(E280&gt;=3,IF(D280&gt;=5,"H","A"),IF(E280&gt;=2,IF(D280&gt;=16,"H",IF(D280&lt;=4,"L","A")),IF(D280&lt;=15,"L","A"))),IF(OR(B280="SE",B280="CE"),IF(E280&gt;=4,IF(D280&gt;=6,"H","A"),IF(E280&gt;=2,IF(D280&gt;=20,"H",IF(D280&lt;=5,"L","A")),IF(D280&lt;=19,"L","A"))),IF(OR(B280="ALI",B280="AIE"),IF(E280&gt;=6,IF(D280&gt;=20,"H","A"),IF(E280&gt;=2,IF(D280&gt;=51,"H",IF(D280&lt;=19,"L","A")),IF(D280&lt;=50,"L","A"))),""))))</f>
        <v/>
      </c>
      <c r="J280" s="7">
        <f>CONCATENATE(B280,C280)</f>
        <v/>
      </c>
      <c r="K280" s="9">
        <f>IF(OR(H280="",H280=0),L280,H280)</f>
        <v/>
      </c>
      <c r="L280" s="9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 t="n"/>
      <c r="N280" s="115" t="n"/>
      <c r="O280" s="6" t="n"/>
    </row>
    <row r="281">
      <c r="A281" s="112" t="n"/>
      <c r="B281" s="4" t="n"/>
      <c r="C281" s="4" t="n"/>
      <c r="D281" s="7" t="n"/>
      <c r="E281" s="7" t="n"/>
      <c r="F281" s="8">
        <f>IF(ISBLANK(B281),"",IF(I281="L","Baixa",IF(I281="A","Média",IF(I281="","","Alta"))))</f>
        <v/>
      </c>
      <c r="G281" s="7">
        <f>CONCATENATE(B281,I281)</f>
        <v/>
      </c>
      <c r="H281" s="5">
        <f>IF(ISBLANK(B281),"",IF(B281="ALI",IF(I281="L",7,IF(I281="A",10,15)),IF(B281="AIE",IF(I281="L",5,IF(I281="A",7,10)),IF(B281="SE",IF(I281="L",4,IF(I281="A",5,7)),IF(OR(B281="EE",B281="CE"),IF(I281="L",3,IF(I281="A",4,6)),0)))))</f>
        <v/>
      </c>
      <c r="I281" s="110">
        <f>IF(OR(ISBLANK(D281),ISBLANK(E281)),IF(OR(B281="ALI",B281="AIE"),"L",IF(OR(B281="EE",B281="SE",B281="CE"),"A","")),IF(B281="EE",IF(E281&gt;=3,IF(D281&gt;=5,"H","A"),IF(E281&gt;=2,IF(D281&gt;=16,"H",IF(D281&lt;=4,"L","A")),IF(D281&lt;=15,"L","A"))),IF(OR(B281="SE",B281="CE"),IF(E281&gt;=4,IF(D281&gt;=6,"H","A"),IF(E281&gt;=2,IF(D281&gt;=20,"H",IF(D281&lt;=5,"L","A")),IF(D281&lt;=19,"L","A"))),IF(OR(B281="ALI",B281="AIE"),IF(E281&gt;=6,IF(D281&gt;=20,"H","A"),IF(E281&gt;=2,IF(D281&gt;=51,"H",IF(D281&lt;=19,"L","A")),IF(D281&lt;=50,"L","A"))),""))))</f>
        <v/>
      </c>
      <c r="J281" s="7">
        <f>CONCATENATE(B281,C281)</f>
        <v/>
      </c>
      <c r="K281" s="9">
        <f>IF(OR(H281="",H281=0),L281,H281)</f>
        <v/>
      </c>
      <c r="L281" s="9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 t="n"/>
      <c r="N281" s="115" t="n"/>
      <c r="O281" s="6" t="n"/>
    </row>
    <row r="282">
      <c r="A282" s="112" t="n"/>
      <c r="B282" s="4" t="n"/>
      <c r="C282" s="4" t="n"/>
      <c r="D282" s="7" t="n"/>
      <c r="E282" s="7" t="n"/>
      <c r="F282" s="8">
        <f>IF(ISBLANK(B282),"",IF(I282="L","Baixa",IF(I282="A","Média",IF(I282="","","Alta"))))</f>
        <v/>
      </c>
      <c r="G282" s="7">
        <f>CONCATENATE(B282,I282)</f>
        <v/>
      </c>
      <c r="H282" s="5">
        <f>IF(ISBLANK(B282),"",IF(B282="ALI",IF(I282="L",7,IF(I282="A",10,15)),IF(B282="AIE",IF(I282="L",5,IF(I282="A",7,10)),IF(B282="SE",IF(I282="L",4,IF(I282="A",5,7)),IF(OR(B282="EE",B282="CE"),IF(I282="L",3,IF(I282="A",4,6)),0)))))</f>
        <v/>
      </c>
      <c r="I282" s="110">
        <f>IF(OR(ISBLANK(D282),ISBLANK(E282)),IF(OR(B282="ALI",B282="AIE"),"L",IF(OR(B282="EE",B282="SE",B282="CE"),"A","")),IF(B282="EE",IF(E282&gt;=3,IF(D282&gt;=5,"H","A"),IF(E282&gt;=2,IF(D282&gt;=16,"H",IF(D282&lt;=4,"L","A")),IF(D282&lt;=15,"L","A"))),IF(OR(B282="SE",B282="CE"),IF(E282&gt;=4,IF(D282&gt;=6,"H","A"),IF(E282&gt;=2,IF(D282&gt;=20,"H",IF(D282&lt;=5,"L","A")),IF(D282&lt;=19,"L","A"))),IF(OR(B282="ALI",B282="AIE"),IF(E282&gt;=6,IF(D282&gt;=20,"H","A"),IF(E282&gt;=2,IF(D282&gt;=51,"H",IF(D282&lt;=19,"L","A")),IF(D282&lt;=50,"L","A"))),""))))</f>
        <v/>
      </c>
      <c r="J282" s="7">
        <f>CONCATENATE(B282,C282)</f>
        <v/>
      </c>
      <c r="K282" s="9">
        <f>IF(OR(H282="",H282=0),L282,H282)</f>
        <v/>
      </c>
      <c r="L282" s="9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 t="n"/>
      <c r="N282" s="115" t="n"/>
      <c r="O282" s="6" t="n"/>
    </row>
    <row r="283">
      <c r="A283" s="112" t="n"/>
      <c r="B283" s="4" t="n"/>
      <c r="C283" s="4" t="n"/>
      <c r="D283" s="7" t="n"/>
      <c r="E283" s="7" t="n"/>
      <c r="F283" s="8">
        <f>IF(ISBLANK(B283),"",IF(I283="L","Baixa",IF(I283="A","Média",IF(I283="","","Alta"))))</f>
        <v/>
      </c>
      <c r="G283" s="7">
        <f>CONCATENATE(B283,I283)</f>
        <v/>
      </c>
      <c r="H283" s="5">
        <f>IF(ISBLANK(B283),"",IF(B283="ALI",IF(I283="L",7,IF(I283="A",10,15)),IF(B283="AIE",IF(I283="L",5,IF(I283="A",7,10)),IF(B283="SE",IF(I283="L",4,IF(I283="A",5,7)),IF(OR(B283="EE",B283="CE"),IF(I283="L",3,IF(I283="A",4,6)),0)))))</f>
        <v/>
      </c>
      <c r="I283" s="110">
        <f>IF(OR(ISBLANK(D283),ISBLANK(E283)),IF(OR(B283="ALI",B283="AIE"),"L",IF(OR(B283="EE",B283="SE",B283="CE"),"A","")),IF(B283="EE",IF(E283&gt;=3,IF(D283&gt;=5,"H","A"),IF(E283&gt;=2,IF(D283&gt;=16,"H",IF(D283&lt;=4,"L","A")),IF(D283&lt;=15,"L","A"))),IF(OR(B283="SE",B283="CE"),IF(E283&gt;=4,IF(D283&gt;=6,"H","A"),IF(E283&gt;=2,IF(D283&gt;=20,"H",IF(D283&lt;=5,"L","A")),IF(D283&lt;=19,"L","A"))),IF(OR(B283="ALI",B283="AIE"),IF(E283&gt;=6,IF(D283&gt;=20,"H","A"),IF(E283&gt;=2,IF(D283&gt;=51,"H",IF(D283&lt;=19,"L","A")),IF(D283&lt;=50,"L","A"))),""))))</f>
        <v/>
      </c>
      <c r="J283" s="7">
        <f>CONCATENATE(B283,C283)</f>
        <v/>
      </c>
      <c r="K283" s="9">
        <f>IF(OR(H283="",H283=0),L283,H283)</f>
        <v/>
      </c>
      <c r="L283" s="9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 t="n"/>
      <c r="N283" s="115" t="n"/>
      <c r="O283" s="6" t="n"/>
    </row>
    <row r="284">
      <c r="A284" s="112" t="n"/>
      <c r="B284" s="4" t="n"/>
      <c r="C284" s="4" t="n"/>
      <c r="D284" s="7" t="n"/>
      <c r="E284" s="7" t="n"/>
      <c r="F284" s="8">
        <f>IF(ISBLANK(B284),"",IF(I284="L","Baixa",IF(I284="A","Média",IF(I284="","","Alta"))))</f>
        <v/>
      </c>
      <c r="G284" s="7">
        <f>CONCATENATE(B284,I284)</f>
        <v/>
      </c>
      <c r="H284" s="5">
        <f>IF(ISBLANK(B284),"",IF(B284="ALI",IF(I284="L",7,IF(I284="A",10,15)),IF(B284="AIE",IF(I284="L",5,IF(I284="A",7,10)),IF(B284="SE",IF(I284="L",4,IF(I284="A",5,7)),IF(OR(B284="EE",B284="CE"),IF(I284="L",3,IF(I284="A",4,6)),0)))))</f>
        <v/>
      </c>
      <c r="I284" s="110">
        <f>IF(OR(ISBLANK(D284),ISBLANK(E284)),IF(OR(B284="ALI",B284="AIE"),"L",IF(OR(B284="EE",B284="SE",B284="CE"),"A","")),IF(B284="EE",IF(E284&gt;=3,IF(D284&gt;=5,"H","A"),IF(E284&gt;=2,IF(D284&gt;=16,"H",IF(D284&lt;=4,"L","A")),IF(D284&lt;=15,"L","A"))),IF(OR(B284="SE",B284="CE"),IF(E284&gt;=4,IF(D284&gt;=6,"H","A"),IF(E284&gt;=2,IF(D284&gt;=20,"H",IF(D284&lt;=5,"L","A")),IF(D284&lt;=19,"L","A"))),IF(OR(B284="ALI",B284="AIE"),IF(E284&gt;=6,IF(D284&gt;=20,"H","A"),IF(E284&gt;=2,IF(D284&gt;=51,"H",IF(D284&lt;=19,"L","A")),IF(D284&lt;=50,"L","A"))),""))))</f>
        <v/>
      </c>
      <c r="J284" s="7">
        <f>CONCATENATE(B284,C284)</f>
        <v/>
      </c>
      <c r="K284" s="9">
        <f>IF(OR(H284="",H284=0),L284,H284)</f>
        <v/>
      </c>
      <c r="L284" s="9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 t="n"/>
      <c r="N284" s="115" t="n"/>
      <c r="O284" s="6" t="n"/>
    </row>
    <row r="285">
      <c r="A285" s="112" t="n"/>
      <c r="B285" s="4" t="n"/>
      <c r="C285" s="4" t="n"/>
      <c r="D285" s="7" t="n"/>
      <c r="E285" s="7" t="n"/>
      <c r="F285" s="8">
        <f>IF(ISBLANK(B285),"",IF(I285="L","Baixa",IF(I285="A","Média",IF(I285="","","Alta"))))</f>
        <v/>
      </c>
      <c r="G285" s="7">
        <f>CONCATENATE(B285,I285)</f>
        <v/>
      </c>
      <c r="H285" s="5">
        <f>IF(ISBLANK(B285),"",IF(B285="ALI",IF(I285="L",7,IF(I285="A",10,15)),IF(B285="AIE",IF(I285="L",5,IF(I285="A",7,10)),IF(B285="SE",IF(I285="L",4,IF(I285="A",5,7)),IF(OR(B285="EE",B285="CE"),IF(I285="L",3,IF(I285="A",4,6)),0)))))</f>
        <v/>
      </c>
      <c r="I285" s="110">
        <f>IF(OR(ISBLANK(D285),ISBLANK(E285)),IF(OR(B285="ALI",B285="AIE"),"L",IF(OR(B285="EE",B285="SE",B285="CE"),"A","")),IF(B285="EE",IF(E285&gt;=3,IF(D285&gt;=5,"H","A"),IF(E285&gt;=2,IF(D285&gt;=16,"H",IF(D285&lt;=4,"L","A")),IF(D285&lt;=15,"L","A"))),IF(OR(B285="SE",B285="CE"),IF(E285&gt;=4,IF(D285&gt;=6,"H","A"),IF(E285&gt;=2,IF(D285&gt;=20,"H",IF(D285&lt;=5,"L","A")),IF(D285&lt;=19,"L","A"))),IF(OR(B285="ALI",B285="AIE"),IF(E285&gt;=6,IF(D285&gt;=20,"H","A"),IF(E285&gt;=2,IF(D285&gt;=51,"H",IF(D285&lt;=19,"L","A")),IF(D285&lt;=50,"L","A"))),""))))</f>
        <v/>
      </c>
      <c r="J285" s="7">
        <f>CONCATENATE(B285,C285)</f>
        <v/>
      </c>
      <c r="K285" s="9">
        <f>IF(OR(H285="",H285=0),L285,H285)</f>
        <v/>
      </c>
      <c r="L285" s="9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 t="n"/>
      <c r="N285" s="115" t="n"/>
      <c r="O285" s="6" t="n"/>
    </row>
    <row r="286">
      <c r="A286" s="112" t="n"/>
      <c r="B286" s="4" t="n"/>
      <c r="C286" s="4" t="n"/>
      <c r="D286" s="7" t="n"/>
      <c r="E286" s="7" t="n"/>
      <c r="F286" s="8">
        <f>IF(ISBLANK(B286),"",IF(I286="L","Baixa",IF(I286="A","Média",IF(I286="","","Alta"))))</f>
        <v/>
      </c>
      <c r="G286" s="7">
        <f>CONCATENATE(B286,I286)</f>
        <v/>
      </c>
      <c r="H286" s="5">
        <f>IF(ISBLANK(B286),"",IF(B286="ALI",IF(I286="L",7,IF(I286="A",10,15)),IF(B286="AIE",IF(I286="L",5,IF(I286="A",7,10)),IF(B286="SE",IF(I286="L",4,IF(I286="A",5,7)),IF(OR(B286="EE",B286="CE"),IF(I286="L",3,IF(I286="A",4,6)),0)))))</f>
        <v/>
      </c>
      <c r="I286" s="110">
        <f>IF(OR(ISBLANK(D286),ISBLANK(E286)),IF(OR(B286="ALI",B286="AIE"),"L",IF(OR(B286="EE",B286="SE",B286="CE"),"A","")),IF(B286="EE",IF(E286&gt;=3,IF(D286&gt;=5,"H","A"),IF(E286&gt;=2,IF(D286&gt;=16,"H",IF(D286&lt;=4,"L","A")),IF(D286&lt;=15,"L","A"))),IF(OR(B286="SE",B286="CE"),IF(E286&gt;=4,IF(D286&gt;=6,"H","A"),IF(E286&gt;=2,IF(D286&gt;=20,"H",IF(D286&lt;=5,"L","A")),IF(D286&lt;=19,"L","A"))),IF(OR(B286="ALI",B286="AIE"),IF(E286&gt;=6,IF(D286&gt;=20,"H","A"),IF(E286&gt;=2,IF(D286&gt;=51,"H",IF(D286&lt;=19,"L","A")),IF(D286&lt;=50,"L","A"))),""))))</f>
        <v/>
      </c>
      <c r="J286" s="7">
        <f>CONCATENATE(B286,C286)</f>
        <v/>
      </c>
      <c r="K286" s="9">
        <f>IF(OR(H286="",H286=0),L286,H286)</f>
        <v/>
      </c>
      <c r="L286" s="9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 t="n"/>
      <c r="N286" s="115" t="n"/>
      <c r="O286" s="6" t="n"/>
    </row>
    <row r="287">
      <c r="A287" s="112" t="n"/>
      <c r="B287" s="4" t="n"/>
      <c r="C287" s="4" t="n"/>
      <c r="D287" s="7" t="n"/>
      <c r="E287" s="7" t="n"/>
      <c r="F287" s="8">
        <f>IF(ISBLANK(B287),"",IF(I287="L","Baixa",IF(I287="A","Média",IF(I287="","","Alta"))))</f>
        <v/>
      </c>
      <c r="G287" s="7">
        <f>CONCATENATE(B287,I287)</f>
        <v/>
      </c>
      <c r="H287" s="5">
        <f>IF(ISBLANK(B287),"",IF(B287="ALI",IF(I287="L",7,IF(I287="A",10,15)),IF(B287="AIE",IF(I287="L",5,IF(I287="A",7,10)),IF(B287="SE",IF(I287="L",4,IF(I287="A",5,7)),IF(OR(B287="EE",B287="CE"),IF(I287="L",3,IF(I287="A",4,6)),0)))))</f>
        <v/>
      </c>
      <c r="I287" s="110">
        <f>IF(OR(ISBLANK(D287),ISBLANK(E287)),IF(OR(B287="ALI",B287="AIE"),"L",IF(OR(B287="EE",B287="SE",B287="CE"),"A","")),IF(B287="EE",IF(E287&gt;=3,IF(D287&gt;=5,"H","A"),IF(E287&gt;=2,IF(D287&gt;=16,"H",IF(D287&lt;=4,"L","A")),IF(D287&lt;=15,"L","A"))),IF(OR(B287="SE",B287="CE"),IF(E287&gt;=4,IF(D287&gt;=6,"H","A"),IF(E287&gt;=2,IF(D287&gt;=20,"H",IF(D287&lt;=5,"L","A")),IF(D287&lt;=19,"L","A"))),IF(OR(B287="ALI",B287="AIE"),IF(E287&gt;=6,IF(D287&gt;=20,"H","A"),IF(E287&gt;=2,IF(D287&gt;=51,"H",IF(D287&lt;=19,"L","A")),IF(D287&lt;=50,"L","A"))),""))))</f>
        <v/>
      </c>
      <c r="J287" s="7">
        <f>CONCATENATE(B287,C287)</f>
        <v/>
      </c>
      <c r="K287" s="9">
        <f>IF(OR(H287="",H287=0),L287,H287)</f>
        <v/>
      </c>
      <c r="L287" s="9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 t="n"/>
      <c r="N287" s="115" t="n"/>
      <c r="O287" s="6" t="n"/>
    </row>
    <row r="288">
      <c r="A288" s="112" t="n"/>
      <c r="B288" s="4" t="n"/>
      <c r="C288" s="4" t="n"/>
      <c r="D288" s="7" t="n"/>
      <c r="E288" s="7" t="n"/>
      <c r="F288" s="8">
        <f>IF(ISBLANK(B288),"",IF(I288="L","Baixa",IF(I288="A","Média",IF(I288="","","Alta"))))</f>
        <v/>
      </c>
      <c r="G288" s="7">
        <f>CONCATENATE(B288,I288)</f>
        <v/>
      </c>
      <c r="H288" s="5">
        <f>IF(ISBLANK(B288),"",IF(B288="ALI",IF(I288="L",7,IF(I288="A",10,15)),IF(B288="AIE",IF(I288="L",5,IF(I288="A",7,10)),IF(B288="SE",IF(I288="L",4,IF(I288="A",5,7)),IF(OR(B288="EE",B288="CE"),IF(I288="L",3,IF(I288="A",4,6)),0)))))</f>
        <v/>
      </c>
      <c r="I288" s="110">
        <f>IF(OR(ISBLANK(D288),ISBLANK(E288)),IF(OR(B288="ALI",B288="AIE"),"L",IF(OR(B288="EE",B288="SE",B288="CE"),"A","")),IF(B288="EE",IF(E288&gt;=3,IF(D288&gt;=5,"H","A"),IF(E288&gt;=2,IF(D288&gt;=16,"H",IF(D288&lt;=4,"L","A")),IF(D288&lt;=15,"L","A"))),IF(OR(B288="SE",B288="CE"),IF(E288&gt;=4,IF(D288&gt;=6,"H","A"),IF(E288&gt;=2,IF(D288&gt;=20,"H",IF(D288&lt;=5,"L","A")),IF(D288&lt;=19,"L","A"))),IF(OR(B288="ALI",B288="AIE"),IF(E288&gt;=6,IF(D288&gt;=20,"H","A"),IF(E288&gt;=2,IF(D288&gt;=51,"H",IF(D288&lt;=19,"L","A")),IF(D288&lt;=50,"L","A"))),""))))</f>
        <v/>
      </c>
      <c r="J288" s="7">
        <f>CONCATENATE(B288,C288)</f>
        <v/>
      </c>
      <c r="K288" s="9">
        <f>IF(OR(H288="",H288=0),L288,H288)</f>
        <v/>
      </c>
      <c r="L288" s="9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 t="n"/>
      <c r="N288" s="115" t="n"/>
      <c r="O288" s="6" t="n"/>
    </row>
    <row r="289">
      <c r="A289" s="112" t="n"/>
      <c r="B289" s="4" t="n"/>
      <c r="C289" s="4" t="n"/>
      <c r="D289" s="7" t="n"/>
      <c r="E289" s="7" t="n"/>
      <c r="F289" s="8">
        <f>IF(ISBLANK(B289),"",IF(I289="L","Baixa",IF(I289="A","Média",IF(I289="","","Alta"))))</f>
        <v/>
      </c>
      <c r="G289" s="7">
        <f>CONCATENATE(B289,I289)</f>
        <v/>
      </c>
      <c r="H289" s="5">
        <f>IF(ISBLANK(B289),"",IF(B289="ALI",IF(I289="L",7,IF(I289="A",10,15)),IF(B289="AIE",IF(I289="L",5,IF(I289="A",7,10)),IF(B289="SE",IF(I289="L",4,IF(I289="A",5,7)),IF(OR(B289="EE",B289="CE"),IF(I289="L",3,IF(I289="A",4,6)),0)))))</f>
        <v/>
      </c>
      <c r="I289" s="110">
        <f>IF(OR(ISBLANK(D289),ISBLANK(E289)),IF(OR(B289="ALI",B289="AIE"),"L",IF(OR(B289="EE",B289="SE",B289="CE"),"A","")),IF(B289="EE",IF(E289&gt;=3,IF(D289&gt;=5,"H","A"),IF(E289&gt;=2,IF(D289&gt;=16,"H",IF(D289&lt;=4,"L","A")),IF(D289&lt;=15,"L","A"))),IF(OR(B289="SE",B289="CE"),IF(E289&gt;=4,IF(D289&gt;=6,"H","A"),IF(E289&gt;=2,IF(D289&gt;=20,"H",IF(D289&lt;=5,"L","A")),IF(D289&lt;=19,"L","A"))),IF(OR(B289="ALI",B289="AIE"),IF(E289&gt;=6,IF(D289&gt;=20,"H","A"),IF(E289&gt;=2,IF(D289&gt;=51,"H",IF(D289&lt;=19,"L","A")),IF(D289&lt;=50,"L","A"))),""))))</f>
        <v/>
      </c>
      <c r="J289" s="7">
        <f>CONCATENATE(B289,C289)</f>
        <v/>
      </c>
      <c r="K289" s="9">
        <f>IF(OR(H289="",H289=0),L289,H289)</f>
        <v/>
      </c>
      <c r="L289" s="9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 t="n"/>
      <c r="N289" s="115" t="n"/>
      <c r="O289" s="6" t="n"/>
    </row>
    <row r="290">
      <c r="A290" s="112" t="n"/>
      <c r="B290" s="4" t="n"/>
      <c r="C290" s="4" t="n"/>
      <c r="D290" s="7" t="n"/>
      <c r="E290" s="7" t="n"/>
      <c r="F290" s="8">
        <f>IF(ISBLANK(B290),"",IF(I290="L","Baixa",IF(I290="A","Média",IF(I290="","","Alta"))))</f>
        <v/>
      </c>
      <c r="G290" s="7">
        <f>CONCATENATE(B290,I290)</f>
        <v/>
      </c>
      <c r="H290" s="5">
        <f>IF(ISBLANK(B290),"",IF(B290="ALI",IF(I290="L",7,IF(I290="A",10,15)),IF(B290="AIE",IF(I290="L",5,IF(I290="A",7,10)),IF(B290="SE",IF(I290="L",4,IF(I290="A",5,7)),IF(OR(B290="EE",B290="CE"),IF(I290="L",3,IF(I290="A",4,6)),0)))))</f>
        <v/>
      </c>
      <c r="I290" s="110">
        <f>IF(OR(ISBLANK(D290),ISBLANK(E290)),IF(OR(B290="ALI",B290="AIE"),"L",IF(OR(B290="EE",B290="SE",B290="CE"),"A","")),IF(B290="EE",IF(E290&gt;=3,IF(D290&gt;=5,"H","A"),IF(E290&gt;=2,IF(D290&gt;=16,"H",IF(D290&lt;=4,"L","A")),IF(D290&lt;=15,"L","A"))),IF(OR(B290="SE",B290="CE"),IF(E290&gt;=4,IF(D290&gt;=6,"H","A"),IF(E290&gt;=2,IF(D290&gt;=20,"H",IF(D290&lt;=5,"L","A")),IF(D290&lt;=19,"L","A"))),IF(OR(B290="ALI",B290="AIE"),IF(E290&gt;=6,IF(D290&gt;=20,"H","A"),IF(E290&gt;=2,IF(D290&gt;=51,"H",IF(D290&lt;=19,"L","A")),IF(D290&lt;=50,"L","A"))),""))))</f>
        <v/>
      </c>
      <c r="J290" s="7">
        <f>CONCATENATE(B290,C290)</f>
        <v/>
      </c>
      <c r="K290" s="9">
        <f>IF(OR(H290="",H290=0),L290,H290)</f>
        <v/>
      </c>
      <c r="L290" s="9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 t="n"/>
      <c r="N290" s="115" t="n"/>
      <c r="O290" s="6" t="n"/>
    </row>
    <row r="291">
      <c r="A291" s="112" t="n"/>
      <c r="B291" s="4" t="n"/>
      <c r="C291" s="4" t="n"/>
      <c r="D291" s="7" t="n"/>
      <c r="E291" s="7" t="n"/>
      <c r="F291" s="8">
        <f>IF(ISBLANK(B291),"",IF(I291="L","Baixa",IF(I291="A","Média",IF(I291="","","Alta"))))</f>
        <v/>
      </c>
      <c r="G291" s="7">
        <f>CONCATENATE(B291,I291)</f>
        <v/>
      </c>
      <c r="H291" s="5">
        <f>IF(ISBLANK(B291),"",IF(B291="ALI",IF(I291="L",7,IF(I291="A",10,15)),IF(B291="AIE",IF(I291="L",5,IF(I291="A",7,10)),IF(B291="SE",IF(I291="L",4,IF(I291="A",5,7)),IF(OR(B291="EE",B291="CE"),IF(I291="L",3,IF(I291="A",4,6)),0)))))</f>
        <v/>
      </c>
      <c r="I291" s="110">
        <f>IF(OR(ISBLANK(D291),ISBLANK(E291)),IF(OR(B291="ALI",B291="AIE"),"L",IF(OR(B291="EE",B291="SE",B291="CE"),"A","")),IF(B291="EE",IF(E291&gt;=3,IF(D291&gt;=5,"H","A"),IF(E291&gt;=2,IF(D291&gt;=16,"H",IF(D291&lt;=4,"L","A")),IF(D291&lt;=15,"L","A"))),IF(OR(B291="SE",B291="CE"),IF(E291&gt;=4,IF(D291&gt;=6,"H","A"),IF(E291&gt;=2,IF(D291&gt;=20,"H",IF(D291&lt;=5,"L","A")),IF(D291&lt;=19,"L","A"))),IF(OR(B291="ALI",B291="AIE"),IF(E291&gt;=6,IF(D291&gt;=20,"H","A"),IF(E291&gt;=2,IF(D291&gt;=51,"H",IF(D291&lt;=19,"L","A")),IF(D291&lt;=50,"L","A"))),""))))</f>
        <v/>
      </c>
      <c r="J291" s="7">
        <f>CONCATENATE(B291,C291)</f>
        <v/>
      </c>
      <c r="K291" s="9">
        <f>IF(OR(H291="",H291=0),L291,H291)</f>
        <v/>
      </c>
      <c r="L291" s="9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 t="n"/>
      <c r="N291" s="115" t="n"/>
      <c r="O291" s="6" t="n"/>
    </row>
    <row r="292">
      <c r="A292" s="112" t="n"/>
      <c r="B292" s="4" t="n"/>
      <c r="C292" s="4" t="n"/>
      <c r="D292" s="7" t="n"/>
      <c r="E292" s="7" t="n"/>
      <c r="F292" s="8">
        <f>IF(ISBLANK(B292),"",IF(I292="L","Baixa",IF(I292="A","Média",IF(I292="","","Alta"))))</f>
        <v/>
      </c>
      <c r="G292" s="7">
        <f>CONCATENATE(B292,I292)</f>
        <v/>
      </c>
      <c r="H292" s="5">
        <f>IF(ISBLANK(B292),"",IF(B292="ALI",IF(I292="L",7,IF(I292="A",10,15)),IF(B292="AIE",IF(I292="L",5,IF(I292="A",7,10)),IF(B292="SE",IF(I292="L",4,IF(I292="A",5,7)),IF(OR(B292="EE",B292="CE"),IF(I292="L",3,IF(I292="A",4,6)),0)))))</f>
        <v/>
      </c>
      <c r="I292" s="110">
        <f>IF(OR(ISBLANK(D292),ISBLANK(E292)),IF(OR(B292="ALI",B292="AIE"),"L",IF(OR(B292="EE",B292="SE",B292="CE"),"A","")),IF(B292="EE",IF(E292&gt;=3,IF(D292&gt;=5,"H","A"),IF(E292&gt;=2,IF(D292&gt;=16,"H",IF(D292&lt;=4,"L","A")),IF(D292&lt;=15,"L","A"))),IF(OR(B292="SE",B292="CE"),IF(E292&gt;=4,IF(D292&gt;=6,"H","A"),IF(E292&gt;=2,IF(D292&gt;=20,"H",IF(D292&lt;=5,"L","A")),IF(D292&lt;=19,"L","A"))),IF(OR(B292="ALI",B292="AIE"),IF(E292&gt;=6,IF(D292&gt;=20,"H","A"),IF(E292&gt;=2,IF(D292&gt;=51,"H",IF(D292&lt;=19,"L","A")),IF(D292&lt;=50,"L","A"))),""))))</f>
        <v/>
      </c>
      <c r="J292" s="7">
        <f>CONCATENATE(B292,C292)</f>
        <v/>
      </c>
      <c r="K292" s="9">
        <f>IF(OR(H292="",H292=0),L292,H292)</f>
        <v/>
      </c>
      <c r="L292" s="9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 t="n"/>
      <c r="N292" s="115" t="n"/>
      <c r="O292" s="6" t="n"/>
    </row>
    <row r="293">
      <c r="A293" s="112" t="n"/>
      <c r="B293" s="4" t="n"/>
      <c r="C293" s="4" t="n"/>
      <c r="D293" s="7" t="n"/>
      <c r="E293" s="7" t="n"/>
      <c r="F293" s="8">
        <f>IF(ISBLANK(B293),"",IF(I293="L","Baixa",IF(I293="A","Média",IF(I293="","","Alta"))))</f>
        <v/>
      </c>
      <c r="G293" s="7">
        <f>CONCATENATE(B293,I293)</f>
        <v/>
      </c>
      <c r="H293" s="5">
        <f>IF(ISBLANK(B293),"",IF(B293="ALI",IF(I293="L",7,IF(I293="A",10,15)),IF(B293="AIE",IF(I293="L",5,IF(I293="A",7,10)),IF(B293="SE",IF(I293="L",4,IF(I293="A",5,7)),IF(OR(B293="EE",B293="CE"),IF(I293="L",3,IF(I293="A",4,6)),0)))))</f>
        <v/>
      </c>
      <c r="I293" s="110">
        <f>IF(OR(ISBLANK(D293),ISBLANK(E293)),IF(OR(B293="ALI",B293="AIE"),"L",IF(OR(B293="EE",B293="SE",B293="CE"),"A","")),IF(B293="EE",IF(E293&gt;=3,IF(D293&gt;=5,"H","A"),IF(E293&gt;=2,IF(D293&gt;=16,"H",IF(D293&lt;=4,"L","A")),IF(D293&lt;=15,"L","A"))),IF(OR(B293="SE",B293="CE"),IF(E293&gt;=4,IF(D293&gt;=6,"H","A"),IF(E293&gt;=2,IF(D293&gt;=20,"H",IF(D293&lt;=5,"L","A")),IF(D293&lt;=19,"L","A"))),IF(OR(B293="ALI",B293="AIE"),IF(E293&gt;=6,IF(D293&gt;=20,"H","A"),IF(E293&gt;=2,IF(D293&gt;=51,"H",IF(D293&lt;=19,"L","A")),IF(D293&lt;=50,"L","A"))),""))))</f>
        <v/>
      </c>
      <c r="J293" s="7">
        <f>CONCATENATE(B293,C293)</f>
        <v/>
      </c>
      <c r="K293" s="9">
        <f>IF(OR(H293="",H293=0),L293,H293)</f>
        <v/>
      </c>
      <c r="L293" s="9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 t="n"/>
      <c r="N293" s="115" t="n"/>
      <c r="O293" s="6" t="n"/>
    </row>
    <row r="294">
      <c r="A294" s="112" t="n"/>
      <c r="B294" s="4" t="n"/>
      <c r="C294" s="4" t="n"/>
      <c r="D294" s="7" t="n"/>
      <c r="E294" s="7" t="n"/>
      <c r="F294" s="8">
        <f>IF(ISBLANK(B294),"",IF(I294="L","Baixa",IF(I294="A","Média",IF(I294="","","Alta"))))</f>
        <v/>
      </c>
      <c r="G294" s="7">
        <f>CONCATENATE(B294,I294)</f>
        <v/>
      </c>
      <c r="H294" s="5">
        <f>IF(ISBLANK(B294),"",IF(B294="ALI",IF(I294="L",7,IF(I294="A",10,15)),IF(B294="AIE",IF(I294="L",5,IF(I294="A",7,10)),IF(B294="SE",IF(I294="L",4,IF(I294="A",5,7)),IF(OR(B294="EE",B294="CE"),IF(I294="L",3,IF(I294="A",4,6)),0)))))</f>
        <v/>
      </c>
      <c r="I294" s="110">
        <f>IF(OR(ISBLANK(D294),ISBLANK(E294)),IF(OR(B294="ALI",B294="AIE"),"L",IF(OR(B294="EE",B294="SE",B294="CE"),"A","")),IF(B294="EE",IF(E294&gt;=3,IF(D294&gt;=5,"H","A"),IF(E294&gt;=2,IF(D294&gt;=16,"H",IF(D294&lt;=4,"L","A")),IF(D294&lt;=15,"L","A"))),IF(OR(B294="SE",B294="CE"),IF(E294&gt;=4,IF(D294&gt;=6,"H","A"),IF(E294&gt;=2,IF(D294&gt;=20,"H",IF(D294&lt;=5,"L","A")),IF(D294&lt;=19,"L","A"))),IF(OR(B294="ALI",B294="AIE"),IF(E294&gt;=6,IF(D294&gt;=20,"H","A"),IF(E294&gt;=2,IF(D294&gt;=51,"H",IF(D294&lt;=19,"L","A")),IF(D294&lt;=50,"L","A"))),""))))</f>
        <v/>
      </c>
      <c r="J294" s="7">
        <f>CONCATENATE(B294,C294)</f>
        <v/>
      </c>
      <c r="K294" s="9">
        <f>IF(OR(H294="",H294=0),L294,H294)</f>
        <v/>
      </c>
      <c r="L294" s="9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 t="n"/>
      <c r="N294" s="115" t="n"/>
      <c r="O294" s="6" t="n"/>
    </row>
    <row r="295">
      <c r="A295" s="112" t="n"/>
      <c r="B295" s="4" t="n"/>
      <c r="C295" s="4" t="n"/>
      <c r="D295" s="7" t="n"/>
      <c r="E295" s="7" t="n"/>
      <c r="F295" s="8">
        <f>IF(ISBLANK(B295),"",IF(I295="L","Baixa",IF(I295="A","Média",IF(I295="","","Alta"))))</f>
        <v/>
      </c>
      <c r="G295" s="7">
        <f>CONCATENATE(B295,I295)</f>
        <v/>
      </c>
      <c r="H295" s="5">
        <f>IF(ISBLANK(B295),"",IF(B295="ALI",IF(I295="L",7,IF(I295="A",10,15)),IF(B295="AIE",IF(I295="L",5,IF(I295="A",7,10)),IF(B295="SE",IF(I295="L",4,IF(I295="A",5,7)),IF(OR(B295="EE",B295="CE"),IF(I295="L",3,IF(I295="A",4,6)),0)))))</f>
        <v/>
      </c>
      <c r="I295" s="110">
        <f>IF(OR(ISBLANK(D295),ISBLANK(E295)),IF(OR(B295="ALI",B295="AIE"),"L",IF(OR(B295="EE",B295="SE",B295="CE"),"A","")),IF(B295="EE",IF(E295&gt;=3,IF(D295&gt;=5,"H","A"),IF(E295&gt;=2,IF(D295&gt;=16,"H",IF(D295&lt;=4,"L","A")),IF(D295&lt;=15,"L","A"))),IF(OR(B295="SE",B295="CE"),IF(E295&gt;=4,IF(D295&gt;=6,"H","A"),IF(E295&gt;=2,IF(D295&gt;=20,"H",IF(D295&lt;=5,"L","A")),IF(D295&lt;=19,"L","A"))),IF(OR(B295="ALI",B295="AIE"),IF(E295&gt;=6,IF(D295&gt;=20,"H","A"),IF(E295&gt;=2,IF(D295&gt;=51,"H",IF(D295&lt;=19,"L","A")),IF(D295&lt;=50,"L","A"))),""))))</f>
        <v/>
      </c>
      <c r="J295" s="7">
        <f>CONCATENATE(B295,C295)</f>
        <v/>
      </c>
      <c r="K295" s="9">
        <f>IF(OR(H295="",H295=0),L295,H295)</f>
        <v/>
      </c>
      <c r="L295" s="9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 t="n"/>
      <c r="N295" s="115" t="n"/>
      <c r="O295" s="6" t="n"/>
    </row>
    <row r="296">
      <c r="A296" s="112" t="n"/>
      <c r="B296" s="4" t="n"/>
      <c r="C296" s="4" t="n"/>
      <c r="D296" s="7" t="n"/>
      <c r="E296" s="7" t="n"/>
      <c r="F296" s="8">
        <f>IF(ISBLANK(B296),"",IF(I296="L","Baixa",IF(I296="A","Média",IF(I296="","","Alta"))))</f>
        <v/>
      </c>
      <c r="G296" s="7">
        <f>CONCATENATE(B296,I296)</f>
        <v/>
      </c>
      <c r="H296" s="5">
        <f>IF(ISBLANK(B296),"",IF(B296="ALI",IF(I296="L",7,IF(I296="A",10,15)),IF(B296="AIE",IF(I296="L",5,IF(I296="A",7,10)),IF(B296="SE",IF(I296="L",4,IF(I296="A",5,7)),IF(OR(B296="EE",B296="CE"),IF(I296="L",3,IF(I296="A",4,6)),0)))))</f>
        <v/>
      </c>
      <c r="I296" s="110">
        <f>IF(OR(ISBLANK(D296),ISBLANK(E296)),IF(OR(B296="ALI",B296="AIE"),"L",IF(OR(B296="EE",B296="SE",B296="CE"),"A","")),IF(B296="EE",IF(E296&gt;=3,IF(D296&gt;=5,"H","A"),IF(E296&gt;=2,IF(D296&gt;=16,"H",IF(D296&lt;=4,"L","A")),IF(D296&lt;=15,"L","A"))),IF(OR(B296="SE",B296="CE"),IF(E296&gt;=4,IF(D296&gt;=6,"H","A"),IF(E296&gt;=2,IF(D296&gt;=20,"H",IF(D296&lt;=5,"L","A")),IF(D296&lt;=19,"L","A"))),IF(OR(B296="ALI",B296="AIE"),IF(E296&gt;=6,IF(D296&gt;=20,"H","A"),IF(E296&gt;=2,IF(D296&gt;=51,"H",IF(D296&lt;=19,"L","A")),IF(D296&lt;=50,"L","A"))),""))))</f>
        <v/>
      </c>
      <c r="J296" s="7">
        <f>CONCATENATE(B296,C296)</f>
        <v/>
      </c>
      <c r="K296" s="9">
        <f>IF(OR(H296="",H296=0),L296,H296)</f>
        <v/>
      </c>
      <c r="L296" s="9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 t="n"/>
      <c r="N296" s="115" t="n"/>
      <c r="O296" s="6" t="n"/>
    </row>
    <row r="297">
      <c r="A297" s="112" t="n"/>
      <c r="B297" s="4" t="n"/>
      <c r="C297" s="4" t="n"/>
      <c r="D297" s="7" t="n"/>
      <c r="E297" s="7" t="n"/>
      <c r="F297" s="8">
        <f>IF(ISBLANK(B297),"",IF(I297="L","Baixa",IF(I297="A","Média",IF(I297="","","Alta"))))</f>
        <v/>
      </c>
      <c r="G297" s="7">
        <f>CONCATENATE(B297,I297)</f>
        <v/>
      </c>
      <c r="H297" s="5">
        <f>IF(ISBLANK(B297),"",IF(B297="ALI",IF(I297="L",7,IF(I297="A",10,15)),IF(B297="AIE",IF(I297="L",5,IF(I297="A",7,10)),IF(B297="SE",IF(I297="L",4,IF(I297="A",5,7)),IF(OR(B297="EE",B297="CE"),IF(I297="L",3,IF(I297="A",4,6)),0)))))</f>
        <v/>
      </c>
      <c r="I297" s="110">
        <f>IF(OR(ISBLANK(D297),ISBLANK(E297)),IF(OR(B297="ALI",B297="AIE"),"L",IF(OR(B297="EE",B297="SE",B297="CE"),"A","")),IF(B297="EE",IF(E297&gt;=3,IF(D297&gt;=5,"H","A"),IF(E297&gt;=2,IF(D297&gt;=16,"H",IF(D297&lt;=4,"L","A")),IF(D297&lt;=15,"L","A"))),IF(OR(B297="SE",B297="CE"),IF(E297&gt;=4,IF(D297&gt;=6,"H","A"),IF(E297&gt;=2,IF(D297&gt;=20,"H",IF(D297&lt;=5,"L","A")),IF(D297&lt;=19,"L","A"))),IF(OR(B297="ALI",B297="AIE"),IF(E297&gt;=6,IF(D297&gt;=20,"H","A"),IF(E297&gt;=2,IF(D297&gt;=51,"H",IF(D297&lt;=19,"L","A")),IF(D297&lt;=50,"L","A"))),""))))</f>
        <v/>
      </c>
      <c r="J297" s="7">
        <f>CONCATENATE(B297,C297)</f>
        <v/>
      </c>
      <c r="K297" s="9">
        <f>IF(OR(H297="",H297=0),L297,H297)</f>
        <v/>
      </c>
      <c r="L297" s="9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 t="n"/>
      <c r="N297" s="115" t="n"/>
      <c r="O297" s="6" t="n"/>
    </row>
    <row r="298">
      <c r="A298" s="112" t="n"/>
      <c r="B298" s="4" t="n"/>
      <c r="C298" s="4" t="n"/>
      <c r="D298" s="7" t="n"/>
      <c r="E298" s="7" t="n"/>
      <c r="F298" s="8">
        <f>IF(ISBLANK(B298),"",IF(I298="L","Baixa",IF(I298="A","Média",IF(I298="","","Alta"))))</f>
        <v/>
      </c>
      <c r="G298" s="7">
        <f>CONCATENATE(B298,I298)</f>
        <v/>
      </c>
      <c r="H298" s="5">
        <f>IF(ISBLANK(B298),"",IF(B298="ALI",IF(I298="L",7,IF(I298="A",10,15)),IF(B298="AIE",IF(I298="L",5,IF(I298="A",7,10)),IF(B298="SE",IF(I298="L",4,IF(I298="A",5,7)),IF(OR(B298="EE",B298="CE"),IF(I298="L",3,IF(I298="A",4,6)),0)))))</f>
        <v/>
      </c>
      <c r="I298" s="110">
        <f>IF(OR(ISBLANK(D298),ISBLANK(E298)),IF(OR(B298="ALI",B298="AIE"),"L",IF(OR(B298="EE",B298="SE",B298="CE"),"A","")),IF(B298="EE",IF(E298&gt;=3,IF(D298&gt;=5,"H","A"),IF(E298&gt;=2,IF(D298&gt;=16,"H",IF(D298&lt;=4,"L","A")),IF(D298&lt;=15,"L","A"))),IF(OR(B298="SE",B298="CE"),IF(E298&gt;=4,IF(D298&gt;=6,"H","A"),IF(E298&gt;=2,IF(D298&gt;=20,"H",IF(D298&lt;=5,"L","A")),IF(D298&lt;=19,"L","A"))),IF(OR(B298="ALI",B298="AIE"),IF(E298&gt;=6,IF(D298&gt;=20,"H","A"),IF(E298&gt;=2,IF(D298&gt;=51,"H",IF(D298&lt;=19,"L","A")),IF(D298&lt;=50,"L","A"))),""))))</f>
        <v/>
      </c>
      <c r="J298" s="7">
        <f>CONCATENATE(B298,C298)</f>
        <v/>
      </c>
      <c r="K298" s="9">
        <f>IF(OR(H298="",H298=0),L298,H298)</f>
        <v/>
      </c>
      <c r="L298" s="9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 t="n"/>
      <c r="N298" s="115" t="n"/>
      <c r="O298" s="6" t="n"/>
    </row>
    <row r="299">
      <c r="A299" s="112" t="n"/>
      <c r="B299" s="4" t="n"/>
      <c r="C299" s="4" t="n"/>
      <c r="D299" s="7" t="n"/>
      <c r="E299" s="7" t="n"/>
      <c r="F299" s="8">
        <f>IF(ISBLANK(B299),"",IF(I299="L","Baixa",IF(I299="A","Média",IF(I299="","","Alta"))))</f>
        <v/>
      </c>
      <c r="G299" s="7">
        <f>CONCATENATE(B299,I299)</f>
        <v/>
      </c>
      <c r="H299" s="5">
        <f>IF(ISBLANK(B299),"",IF(B299="ALI",IF(I299="L",7,IF(I299="A",10,15)),IF(B299="AIE",IF(I299="L",5,IF(I299="A",7,10)),IF(B299="SE",IF(I299="L",4,IF(I299="A",5,7)),IF(OR(B299="EE",B299="CE"),IF(I299="L",3,IF(I299="A",4,6)),0)))))</f>
        <v/>
      </c>
      <c r="I299" s="110">
        <f>IF(OR(ISBLANK(D299),ISBLANK(E299)),IF(OR(B299="ALI",B299="AIE"),"L",IF(OR(B299="EE",B299="SE",B299="CE"),"A","")),IF(B299="EE",IF(E299&gt;=3,IF(D299&gt;=5,"H","A"),IF(E299&gt;=2,IF(D299&gt;=16,"H",IF(D299&lt;=4,"L","A")),IF(D299&lt;=15,"L","A"))),IF(OR(B299="SE",B299="CE"),IF(E299&gt;=4,IF(D299&gt;=6,"H","A"),IF(E299&gt;=2,IF(D299&gt;=20,"H",IF(D299&lt;=5,"L","A")),IF(D299&lt;=19,"L","A"))),IF(OR(B299="ALI",B299="AIE"),IF(E299&gt;=6,IF(D299&gt;=20,"H","A"),IF(E299&gt;=2,IF(D299&gt;=51,"H",IF(D299&lt;=19,"L","A")),IF(D299&lt;=50,"L","A"))),""))))</f>
        <v/>
      </c>
      <c r="J299" s="7">
        <f>CONCATENATE(B299,C299)</f>
        <v/>
      </c>
      <c r="K299" s="9">
        <f>IF(OR(H299="",H299=0),L299,H299)</f>
        <v/>
      </c>
      <c r="L299" s="9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 t="n"/>
      <c r="N299" s="115" t="n"/>
      <c r="O299" s="6" t="n"/>
    </row>
    <row r="300">
      <c r="A300" s="112" t="n"/>
      <c r="B300" s="4" t="n"/>
      <c r="C300" s="4" t="n"/>
      <c r="D300" s="7" t="n"/>
      <c r="E300" s="7" t="n"/>
      <c r="F300" s="8">
        <f>IF(ISBLANK(B300),"",IF(I300="L","Baixa",IF(I300="A","Média",IF(I300="","","Alta"))))</f>
        <v/>
      </c>
      <c r="G300" s="7">
        <f>CONCATENATE(B300,I300)</f>
        <v/>
      </c>
      <c r="H300" s="5">
        <f>IF(ISBLANK(B300),"",IF(B300="ALI",IF(I300="L",7,IF(I300="A",10,15)),IF(B300="AIE",IF(I300="L",5,IF(I300="A",7,10)),IF(B300="SE",IF(I300="L",4,IF(I300="A",5,7)),IF(OR(B300="EE",B300="CE"),IF(I300="L",3,IF(I300="A",4,6)),0)))))</f>
        <v/>
      </c>
      <c r="I300" s="110">
        <f>IF(OR(ISBLANK(D300),ISBLANK(E300)),IF(OR(B300="ALI",B300="AIE"),"L",IF(OR(B300="EE",B300="SE",B300="CE"),"A","")),IF(B300="EE",IF(E300&gt;=3,IF(D300&gt;=5,"H","A"),IF(E300&gt;=2,IF(D300&gt;=16,"H",IF(D300&lt;=4,"L","A")),IF(D300&lt;=15,"L","A"))),IF(OR(B300="SE",B300="CE"),IF(E300&gt;=4,IF(D300&gt;=6,"H","A"),IF(E300&gt;=2,IF(D300&gt;=20,"H",IF(D300&lt;=5,"L","A")),IF(D300&lt;=19,"L","A"))),IF(OR(B300="ALI",B300="AIE"),IF(E300&gt;=6,IF(D300&gt;=20,"H","A"),IF(E300&gt;=2,IF(D300&gt;=51,"H",IF(D300&lt;=19,"L","A")),IF(D300&lt;=50,"L","A"))),""))))</f>
        <v/>
      </c>
      <c r="J300" s="7">
        <f>CONCATENATE(B300,C300)</f>
        <v/>
      </c>
      <c r="K300" s="9">
        <f>IF(OR(H300="",H300=0),L300,H300)</f>
        <v/>
      </c>
      <c r="L300" s="9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 t="n"/>
      <c r="N300" s="115" t="n"/>
      <c r="O300" s="6" t="n"/>
    </row>
    <row r="301">
      <c r="A301" s="112" t="n"/>
      <c r="B301" s="4" t="n"/>
      <c r="C301" s="4" t="n"/>
      <c r="D301" s="7" t="n"/>
      <c r="E301" s="7" t="n"/>
      <c r="F301" s="8">
        <f>IF(ISBLANK(B301),"",IF(I301="L","Baixa",IF(I301="A","Média",IF(I301="","","Alta"))))</f>
        <v/>
      </c>
      <c r="G301" s="7">
        <f>CONCATENATE(B301,I301)</f>
        <v/>
      </c>
      <c r="H301" s="5">
        <f>IF(ISBLANK(B301),"",IF(B301="ALI",IF(I301="L",7,IF(I301="A",10,15)),IF(B301="AIE",IF(I301="L",5,IF(I301="A",7,10)),IF(B301="SE",IF(I301="L",4,IF(I301="A",5,7)),IF(OR(B301="EE",B301="CE"),IF(I301="L",3,IF(I301="A",4,6)),0)))))</f>
        <v/>
      </c>
      <c r="I301" s="110">
        <f>IF(OR(ISBLANK(D301),ISBLANK(E301)),IF(OR(B301="ALI",B301="AIE"),"L",IF(OR(B301="EE",B301="SE",B301="CE"),"A","")),IF(B301="EE",IF(E301&gt;=3,IF(D301&gt;=5,"H","A"),IF(E301&gt;=2,IF(D301&gt;=16,"H",IF(D301&lt;=4,"L","A")),IF(D301&lt;=15,"L","A"))),IF(OR(B301="SE",B301="CE"),IF(E301&gt;=4,IF(D301&gt;=6,"H","A"),IF(E301&gt;=2,IF(D301&gt;=20,"H",IF(D301&lt;=5,"L","A")),IF(D301&lt;=19,"L","A"))),IF(OR(B301="ALI",B301="AIE"),IF(E301&gt;=6,IF(D301&gt;=20,"H","A"),IF(E301&gt;=2,IF(D301&gt;=51,"H",IF(D301&lt;=19,"L","A")),IF(D301&lt;=50,"L","A"))),""))))</f>
        <v/>
      </c>
      <c r="J301" s="7">
        <f>CONCATENATE(B301,C301)</f>
        <v/>
      </c>
      <c r="K301" s="9">
        <f>IF(OR(H301="",H301=0),L301,H301)</f>
        <v/>
      </c>
      <c r="L301" s="9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 t="n"/>
      <c r="N301" s="115" t="n"/>
      <c r="O301" s="6" t="n"/>
    </row>
    <row r="302">
      <c r="A302" s="112" t="n"/>
      <c r="B302" s="4" t="n"/>
      <c r="C302" s="4" t="n"/>
      <c r="D302" s="7" t="n"/>
      <c r="E302" s="7" t="n"/>
      <c r="F302" s="8">
        <f>IF(ISBLANK(B302),"",IF(I302="L","Baixa",IF(I302="A","Média",IF(I302="","","Alta"))))</f>
        <v/>
      </c>
      <c r="G302" s="7">
        <f>CONCATENATE(B302,I302)</f>
        <v/>
      </c>
      <c r="H302" s="5">
        <f>IF(ISBLANK(B302),"",IF(B302="ALI",IF(I302="L",7,IF(I302="A",10,15)),IF(B302="AIE",IF(I302="L",5,IF(I302="A",7,10)),IF(B302="SE",IF(I302="L",4,IF(I302="A",5,7)),IF(OR(B302="EE",B302="CE"),IF(I302="L",3,IF(I302="A",4,6)),0)))))</f>
        <v/>
      </c>
      <c r="I302" s="110">
        <f>IF(OR(ISBLANK(D302),ISBLANK(E302)),IF(OR(B302="ALI",B302="AIE"),"L",IF(OR(B302="EE",B302="SE",B302="CE"),"A","")),IF(B302="EE",IF(E302&gt;=3,IF(D302&gt;=5,"H","A"),IF(E302&gt;=2,IF(D302&gt;=16,"H",IF(D302&lt;=4,"L","A")),IF(D302&lt;=15,"L","A"))),IF(OR(B302="SE",B302="CE"),IF(E302&gt;=4,IF(D302&gt;=6,"H","A"),IF(E302&gt;=2,IF(D302&gt;=20,"H",IF(D302&lt;=5,"L","A")),IF(D302&lt;=19,"L","A"))),IF(OR(B302="ALI",B302="AIE"),IF(E302&gt;=6,IF(D302&gt;=20,"H","A"),IF(E302&gt;=2,IF(D302&gt;=51,"H",IF(D302&lt;=19,"L","A")),IF(D302&lt;=50,"L","A"))),""))))</f>
        <v/>
      </c>
      <c r="J302" s="7">
        <f>CONCATENATE(B302,C302)</f>
        <v/>
      </c>
      <c r="K302" s="9">
        <f>IF(OR(H302="",H302=0),L302,H302)</f>
        <v/>
      </c>
      <c r="L302" s="9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 t="n"/>
      <c r="N302" s="115" t="n"/>
      <c r="O302" s="6" t="n"/>
    </row>
    <row r="303">
      <c r="A303" s="112" t="n"/>
      <c r="B303" s="4" t="n"/>
      <c r="C303" s="4" t="n"/>
      <c r="D303" s="7" t="n"/>
      <c r="E303" s="7" t="n"/>
      <c r="F303" s="8">
        <f>IF(ISBLANK(B303),"",IF(I303="L","Baixa",IF(I303="A","Média",IF(I303="","","Alta"))))</f>
        <v/>
      </c>
      <c r="G303" s="7">
        <f>CONCATENATE(B303,I303)</f>
        <v/>
      </c>
      <c r="H303" s="5">
        <f>IF(ISBLANK(B303),"",IF(B303="ALI",IF(I303="L",7,IF(I303="A",10,15)),IF(B303="AIE",IF(I303="L",5,IF(I303="A",7,10)),IF(B303="SE",IF(I303="L",4,IF(I303="A",5,7)),IF(OR(B303="EE",B303="CE"),IF(I303="L",3,IF(I303="A",4,6)),0)))))</f>
        <v/>
      </c>
      <c r="I303" s="110">
        <f>IF(OR(ISBLANK(D303),ISBLANK(E303)),IF(OR(B303="ALI",B303="AIE"),"L",IF(OR(B303="EE",B303="SE",B303="CE"),"A","")),IF(B303="EE",IF(E303&gt;=3,IF(D303&gt;=5,"H","A"),IF(E303&gt;=2,IF(D303&gt;=16,"H",IF(D303&lt;=4,"L","A")),IF(D303&lt;=15,"L","A"))),IF(OR(B303="SE",B303="CE"),IF(E303&gt;=4,IF(D303&gt;=6,"H","A"),IF(E303&gt;=2,IF(D303&gt;=20,"H",IF(D303&lt;=5,"L","A")),IF(D303&lt;=19,"L","A"))),IF(OR(B303="ALI",B303="AIE"),IF(E303&gt;=6,IF(D303&gt;=20,"H","A"),IF(E303&gt;=2,IF(D303&gt;=51,"H",IF(D303&lt;=19,"L","A")),IF(D303&lt;=50,"L","A"))),""))))</f>
        <v/>
      </c>
      <c r="J303" s="7">
        <f>CONCATENATE(B303,C303)</f>
        <v/>
      </c>
      <c r="K303" s="9">
        <f>IF(OR(H303="",H303=0),L303,H303)</f>
        <v/>
      </c>
      <c r="L303" s="9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 t="n"/>
      <c r="N303" s="115" t="n"/>
      <c r="O303" s="6" t="n"/>
    </row>
    <row r="304">
      <c r="A304" s="112" t="n"/>
      <c r="B304" s="4" t="n"/>
      <c r="C304" s="4" t="n"/>
      <c r="D304" s="7" t="n"/>
      <c r="E304" s="7" t="n"/>
      <c r="F304" s="8">
        <f>IF(ISBLANK(B304),"",IF(I304="L","Baixa",IF(I304="A","Média",IF(I304="","","Alta"))))</f>
        <v/>
      </c>
      <c r="G304" s="7">
        <f>CONCATENATE(B304,I304)</f>
        <v/>
      </c>
      <c r="H304" s="5">
        <f>IF(ISBLANK(B304),"",IF(B304="ALI",IF(I304="L",7,IF(I304="A",10,15)),IF(B304="AIE",IF(I304="L",5,IF(I304="A",7,10)),IF(B304="SE",IF(I304="L",4,IF(I304="A",5,7)),IF(OR(B304="EE",B304="CE"),IF(I304="L",3,IF(I304="A",4,6)),0)))))</f>
        <v/>
      </c>
      <c r="I304" s="110">
        <f>IF(OR(ISBLANK(D304),ISBLANK(E304)),IF(OR(B304="ALI",B304="AIE"),"L",IF(OR(B304="EE",B304="SE",B304="CE"),"A","")),IF(B304="EE",IF(E304&gt;=3,IF(D304&gt;=5,"H","A"),IF(E304&gt;=2,IF(D304&gt;=16,"H",IF(D304&lt;=4,"L","A")),IF(D304&lt;=15,"L","A"))),IF(OR(B304="SE",B304="CE"),IF(E304&gt;=4,IF(D304&gt;=6,"H","A"),IF(E304&gt;=2,IF(D304&gt;=20,"H",IF(D304&lt;=5,"L","A")),IF(D304&lt;=19,"L","A"))),IF(OR(B304="ALI",B304="AIE"),IF(E304&gt;=6,IF(D304&gt;=20,"H","A"),IF(E304&gt;=2,IF(D304&gt;=51,"H",IF(D304&lt;=19,"L","A")),IF(D304&lt;=50,"L","A"))),""))))</f>
        <v/>
      </c>
      <c r="J304" s="7">
        <f>CONCATENATE(B304,C304)</f>
        <v/>
      </c>
      <c r="K304" s="9">
        <f>IF(OR(H304="",H304=0),L304,H304)</f>
        <v/>
      </c>
      <c r="L304" s="9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 t="n"/>
      <c r="N304" s="115" t="n"/>
      <c r="O304" s="6" t="n"/>
    </row>
    <row r="305">
      <c r="A305" s="112" t="n"/>
      <c r="B305" s="4" t="n"/>
      <c r="C305" s="4" t="n"/>
      <c r="D305" s="7" t="n"/>
      <c r="E305" s="7" t="n"/>
      <c r="F305" s="8">
        <f>IF(ISBLANK(B305),"",IF(I305="L","Baixa",IF(I305="A","Média",IF(I305="","","Alta"))))</f>
        <v/>
      </c>
      <c r="G305" s="7">
        <f>CONCATENATE(B305,I305)</f>
        <v/>
      </c>
      <c r="H305" s="5">
        <f>IF(ISBLANK(B305),"",IF(B305="ALI",IF(I305="L",7,IF(I305="A",10,15)),IF(B305="AIE",IF(I305="L",5,IF(I305="A",7,10)),IF(B305="SE",IF(I305="L",4,IF(I305="A",5,7)),IF(OR(B305="EE",B305="CE"),IF(I305="L",3,IF(I305="A",4,6)),0)))))</f>
        <v/>
      </c>
      <c r="I305" s="110">
        <f>IF(OR(ISBLANK(D305),ISBLANK(E305)),IF(OR(B305="ALI",B305="AIE"),"L",IF(OR(B305="EE",B305="SE",B305="CE"),"A","")),IF(B305="EE",IF(E305&gt;=3,IF(D305&gt;=5,"H","A"),IF(E305&gt;=2,IF(D305&gt;=16,"H",IF(D305&lt;=4,"L","A")),IF(D305&lt;=15,"L","A"))),IF(OR(B305="SE",B305="CE"),IF(E305&gt;=4,IF(D305&gt;=6,"H","A"),IF(E305&gt;=2,IF(D305&gt;=20,"H",IF(D305&lt;=5,"L","A")),IF(D305&lt;=19,"L","A"))),IF(OR(B305="ALI",B305="AIE"),IF(E305&gt;=6,IF(D305&gt;=20,"H","A"),IF(E305&gt;=2,IF(D305&gt;=51,"H",IF(D305&lt;=19,"L","A")),IF(D305&lt;=50,"L","A"))),""))))</f>
        <v/>
      </c>
      <c r="J305" s="7">
        <f>CONCATENATE(B305,C305)</f>
        <v/>
      </c>
      <c r="K305" s="9">
        <f>IF(OR(H305="",H305=0),L305,H305)</f>
        <v/>
      </c>
      <c r="L305" s="9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 t="n"/>
      <c r="N305" s="115" t="n"/>
      <c r="O305" s="6" t="n"/>
    </row>
    <row r="306">
      <c r="A306" s="112" t="n"/>
      <c r="B306" s="4" t="n"/>
      <c r="C306" s="4" t="n"/>
      <c r="D306" s="7" t="n"/>
      <c r="E306" s="7" t="n"/>
      <c r="F306" s="8">
        <f>IF(ISBLANK(B306),"",IF(I306="L","Baixa",IF(I306="A","Média",IF(I306="","","Alta"))))</f>
        <v/>
      </c>
      <c r="G306" s="7">
        <f>CONCATENATE(B306,I306)</f>
        <v/>
      </c>
      <c r="H306" s="5">
        <f>IF(ISBLANK(B306),"",IF(B306="ALI",IF(I306="L",7,IF(I306="A",10,15)),IF(B306="AIE",IF(I306="L",5,IF(I306="A",7,10)),IF(B306="SE",IF(I306="L",4,IF(I306="A",5,7)),IF(OR(B306="EE",B306="CE"),IF(I306="L",3,IF(I306="A",4,6)),0)))))</f>
        <v/>
      </c>
      <c r="I306" s="110">
        <f>IF(OR(ISBLANK(D306),ISBLANK(E306)),IF(OR(B306="ALI",B306="AIE"),"L",IF(OR(B306="EE",B306="SE",B306="CE"),"A","")),IF(B306="EE",IF(E306&gt;=3,IF(D306&gt;=5,"H","A"),IF(E306&gt;=2,IF(D306&gt;=16,"H",IF(D306&lt;=4,"L","A")),IF(D306&lt;=15,"L","A"))),IF(OR(B306="SE",B306="CE"),IF(E306&gt;=4,IF(D306&gt;=6,"H","A"),IF(E306&gt;=2,IF(D306&gt;=20,"H",IF(D306&lt;=5,"L","A")),IF(D306&lt;=19,"L","A"))),IF(OR(B306="ALI",B306="AIE"),IF(E306&gt;=6,IF(D306&gt;=20,"H","A"),IF(E306&gt;=2,IF(D306&gt;=51,"H",IF(D306&lt;=19,"L","A")),IF(D306&lt;=50,"L","A"))),""))))</f>
        <v/>
      </c>
      <c r="J306" s="7">
        <f>CONCATENATE(B306,C306)</f>
        <v/>
      </c>
      <c r="K306" s="9">
        <f>IF(OR(H306="",H306=0),L306,H306)</f>
        <v/>
      </c>
      <c r="L306" s="9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 t="n"/>
      <c r="N306" s="115" t="n"/>
      <c r="O306" s="6" t="n"/>
    </row>
    <row r="307">
      <c r="A307" s="112" t="n"/>
      <c r="B307" s="4" t="n"/>
      <c r="C307" s="4" t="n"/>
      <c r="D307" s="7" t="n"/>
      <c r="E307" s="7" t="n"/>
      <c r="F307" s="8">
        <f>IF(ISBLANK(B307),"",IF(I307="L","Baixa",IF(I307="A","Média",IF(I307="","","Alta"))))</f>
        <v/>
      </c>
      <c r="G307" s="7">
        <f>CONCATENATE(B307,I307)</f>
        <v/>
      </c>
      <c r="H307" s="5">
        <f>IF(ISBLANK(B307),"",IF(B307="ALI",IF(I307="L",7,IF(I307="A",10,15)),IF(B307="AIE",IF(I307="L",5,IF(I307="A",7,10)),IF(B307="SE",IF(I307="L",4,IF(I307="A",5,7)),IF(OR(B307="EE",B307="CE"),IF(I307="L",3,IF(I307="A",4,6)),0)))))</f>
        <v/>
      </c>
      <c r="I307" s="110">
        <f>IF(OR(ISBLANK(D307),ISBLANK(E307)),IF(OR(B307="ALI",B307="AIE"),"L",IF(OR(B307="EE",B307="SE",B307="CE"),"A","")),IF(B307="EE",IF(E307&gt;=3,IF(D307&gt;=5,"H","A"),IF(E307&gt;=2,IF(D307&gt;=16,"H",IF(D307&lt;=4,"L","A")),IF(D307&lt;=15,"L","A"))),IF(OR(B307="SE",B307="CE"),IF(E307&gt;=4,IF(D307&gt;=6,"H","A"),IF(E307&gt;=2,IF(D307&gt;=20,"H",IF(D307&lt;=5,"L","A")),IF(D307&lt;=19,"L","A"))),IF(OR(B307="ALI",B307="AIE"),IF(E307&gt;=6,IF(D307&gt;=20,"H","A"),IF(E307&gt;=2,IF(D307&gt;=51,"H",IF(D307&lt;=19,"L","A")),IF(D307&lt;=50,"L","A"))),""))))</f>
        <v/>
      </c>
      <c r="J307" s="7">
        <f>CONCATENATE(B307,C307)</f>
        <v/>
      </c>
      <c r="K307" s="9">
        <f>IF(OR(H307="",H307=0),L307,H307)</f>
        <v/>
      </c>
      <c r="L307" s="9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 t="n"/>
      <c r="N307" s="115" t="n"/>
      <c r="O307" s="6" t="n"/>
    </row>
    <row r="308">
      <c r="A308" s="112" t="n"/>
      <c r="B308" s="4" t="n"/>
      <c r="C308" s="4" t="n"/>
      <c r="D308" s="7" t="n"/>
      <c r="E308" s="7" t="n"/>
      <c r="F308" s="8">
        <f>IF(ISBLANK(B308),"",IF(I308="L","Baixa",IF(I308="A","Média",IF(I308="","","Alta"))))</f>
        <v/>
      </c>
      <c r="G308" s="7">
        <f>CONCATENATE(B308,I308)</f>
        <v/>
      </c>
      <c r="H308" s="5">
        <f>IF(ISBLANK(B308),"",IF(B308="ALI",IF(I308="L",7,IF(I308="A",10,15)),IF(B308="AIE",IF(I308="L",5,IF(I308="A",7,10)),IF(B308="SE",IF(I308="L",4,IF(I308="A",5,7)),IF(OR(B308="EE",B308="CE"),IF(I308="L",3,IF(I308="A",4,6)),0)))))</f>
        <v/>
      </c>
      <c r="I308" s="110">
        <f>IF(OR(ISBLANK(D308),ISBLANK(E308)),IF(OR(B308="ALI",B308="AIE"),"L",IF(OR(B308="EE",B308="SE",B308="CE"),"A","")),IF(B308="EE",IF(E308&gt;=3,IF(D308&gt;=5,"H","A"),IF(E308&gt;=2,IF(D308&gt;=16,"H",IF(D308&lt;=4,"L","A")),IF(D308&lt;=15,"L","A"))),IF(OR(B308="SE",B308="CE"),IF(E308&gt;=4,IF(D308&gt;=6,"H","A"),IF(E308&gt;=2,IF(D308&gt;=20,"H",IF(D308&lt;=5,"L","A")),IF(D308&lt;=19,"L","A"))),IF(OR(B308="ALI",B308="AIE"),IF(E308&gt;=6,IF(D308&gt;=20,"H","A"),IF(E308&gt;=2,IF(D308&gt;=51,"H",IF(D308&lt;=19,"L","A")),IF(D308&lt;=50,"L","A"))),""))))</f>
        <v/>
      </c>
      <c r="J308" s="7">
        <f>CONCATENATE(B308,C308)</f>
        <v/>
      </c>
      <c r="K308" s="9">
        <f>IF(OR(H308="",H308=0),L308,H308)</f>
        <v/>
      </c>
      <c r="L308" s="9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 t="n"/>
      <c r="N308" s="115" t="n"/>
      <c r="O308" s="6" t="n"/>
    </row>
    <row r="309">
      <c r="A309" s="112" t="n"/>
      <c r="B309" s="4" t="n"/>
      <c r="C309" s="4" t="n"/>
      <c r="D309" s="7" t="n"/>
      <c r="E309" s="7" t="n"/>
      <c r="F309" s="8">
        <f>IF(ISBLANK(B309),"",IF(I309="L","Baixa",IF(I309="A","Média",IF(I309="","","Alta"))))</f>
        <v/>
      </c>
      <c r="G309" s="7">
        <f>CONCATENATE(B309,I309)</f>
        <v/>
      </c>
      <c r="H309" s="5">
        <f>IF(ISBLANK(B309),"",IF(B309="ALI",IF(I309="L",7,IF(I309="A",10,15)),IF(B309="AIE",IF(I309="L",5,IF(I309="A",7,10)),IF(B309="SE",IF(I309="L",4,IF(I309="A",5,7)),IF(OR(B309="EE",B309="CE"),IF(I309="L",3,IF(I309="A",4,6)),0)))))</f>
        <v/>
      </c>
      <c r="I309" s="110">
        <f>IF(OR(ISBLANK(D309),ISBLANK(E309)),IF(OR(B309="ALI",B309="AIE"),"L",IF(OR(B309="EE",B309="SE",B309="CE"),"A","")),IF(B309="EE",IF(E309&gt;=3,IF(D309&gt;=5,"H","A"),IF(E309&gt;=2,IF(D309&gt;=16,"H",IF(D309&lt;=4,"L","A")),IF(D309&lt;=15,"L","A"))),IF(OR(B309="SE",B309="CE"),IF(E309&gt;=4,IF(D309&gt;=6,"H","A"),IF(E309&gt;=2,IF(D309&gt;=20,"H",IF(D309&lt;=5,"L","A")),IF(D309&lt;=19,"L","A"))),IF(OR(B309="ALI",B309="AIE"),IF(E309&gt;=6,IF(D309&gt;=20,"H","A"),IF(E309&gt;=2,IF(D309&gt;=51,"H",IF(D309&lt;=19,"L","A")),IF(D309&lt;=50,"L","A"))),""))))</f>
        <v/>
      </c>
      <c r="J309" s="7">
        <f>CONCATENATE(B309,C309)</f>
        <v/>
      </c>
      <c r="K309" s="9">
        <f>IF(OR(H309="",H309=0),L309,H309)</f>
        <v/>
      </c>
      <c r="L309" s="9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 t="n"/>
      <c r="N309" s="115" t="n"/>
      <c r="O309" s="6" t="n"/>
    </row>
    <row r="310">
      <c r="A310" s="112" t="n"/>
      <c r="B310" s="4" t="n"/>
      <c r="C310" s="4" t="n"/>
      <c r="D310" s="7" t="n"/>
      <c r="E310" s="7" t="n"/>
      <c r="F310" s="8">
        <f>IF(ISBLANK(B310),"",IF(I310="L","Baixa",IF(I310="A","Média",IF(I310="","","Alta"))))</f>
        <v/>
      </c>
      <c r="G310" s="7">
        <f>CONCATENATE(B310,I310)</f>
        <v/>
      </c>
      <c r="H310" s="5">
        <f>IF(ISBLANK(B310),"",IF(B310="ALI",IF(I310="L",7,IF(I310="A",10,15)),IF(B310="AIE",IF(I310="L",5,IF(I310="A",7,10)),IF(B310="SE",IF(I310="L",4,IF(I310="A",5,7)),IF(OR(B310="EE",B310="CE"),IF(I310="L",3,IF(I310="A",4,6)),0)))))</f>
        <v/>
      </c>
      <c r="I310" s="110">
        <f>IF(OR(ISBLANK(D310),ISBLANK(E310)),IF(OR(B310="ALI",B310="AIE"),"L",IF(OR(B310="EE",B310="SE",B310="CE"),"A","")),IF(B310="EE",IF(E310&gt;=3,IF(D310&gt;=5,"H","A"),IF(E310&gt;=2,IF(D310&gt;=16,"H",IF(D310&lt;=4,"L","A")),IF(D310&lt;=15,"L","A"))),IF(OR(B310="SE",B310="CE"),IF(E310&gt;=4,IF(D310&gt;=6,"H","A"),IF(E310&gt;=2,IF(D310&gt;=20,"H",IF(D310&lt;=5,"L","A")),IF(D310&lt;=19,"L","A"))),IF(OR(B310="ALI",B310="AIE"),IF(E310&gt;=6,IF(D310&gt;=20,"H","A"),IF(E310&gt;=2,IF(D310&gt;=51,"H",IF(D310&lt;=19,"L","A")),IF(D310&lt;=50,"L","A"))),""))))</f>
        <v/>
      </c>
      <c r="J310" s="7">
        <f>CONCATENATE(B310,C310)</f>
        <v/>
      </c>
      <c r="K310" s="9">
        <f>IF(OR(H310="",H310=0),L310,H310)</f>
        <v/>
      </c>
      <c r="L310" s="9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 t="n"/>
      <c r="N310" s="115" t="n"/>
      <c r="O310" s="6" t="n"/>
    </row>
    <row r="311">
      <c r="A311" s="112" t="n"/>
      <c r="B311" s="4" t="n"/>
      <c r="C311" s="4" t="n"/>
      <c r="D311" s="7" t="n"/>
      <c r="E311" s="7" t="n"/>
      <c r="F311" s="8">
        <f>IF(ISBLANK(B311),"",IF(I311="L","Baixa",IF(I311="A","Média",IF(I311="","","Alta"))))</f>
        <v/>
      </c>
      <c r="G311" s="7">
        <f>CONCATENATE(B311,I311)</f>
        <v/>
      </c>
      <c r="H311" s="5">
        <f>IF(ISBLANK(B311),"",IF(B311="ALI",IF(I311="L",7,IF(I311="A",10,15)),IF(B311="AIE",IF(I311="L",5,IF(I311="A",7,10)),IF(B311="SE",IF(I311="L",4,IF(I311="A",5,7)),IF(OR(B311="EE",B311="CE"),IF(I311="L",3,IF(I311="A",4,6)),0)))))</f>
        <v/>
      </c>
      <c r="I311" s="110">
        <f>IF(OR(ISBLANK(D311),ISBLANK(E311)),IF(OR(B311="ALI",B311="AIE"),"L",IF(OR(B311="EE",B311="SE",B311="CE"),"A","")),IF(B311="EE",IF(E311&gt;=3,IF(D311&gt;=5,"H","A"),IF(E311&gt;=2,IF(D311&gt;=16,"H",IF(D311&lt;=4,"L","A")),IF(D311&lt;=15,"L","A"))),IF(OR(B311="SE",B311="CE"),IF(E311&gt;=4,IF(D311&gt;=6,"H","A"),IF(E311&gt;=2,IF(D311&gt;=20,"H",IF(D311&lt;=5,"L","A")),IF(D311&lt;=19,"L","A"))),IF(OR(B311="ALI",B311="AIE"),IF(E311&gt;=6,IF(D311&gt;=20,"H","A"),IF(E311&gt;=2,IF(D311&gt;=51,"H",IF(D311&lt;=19,"L","A")),IF(D311&lt;=50,"L","A"))),""))))</f>
        <v/>
      </c>
      <c r="J311" s="7">
        <f>CONCATENATE(B311,C311)</f>
        <v/>
      </c>
      <c r="K311" s="9">
        <f>IF(OR(H311="",H311=0),L311,H311)</f>
        <v/>
      </c>
      <c r="L311" s="9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 t="n"/>
      <c r="N311" s="115" t="n"/>
      <c r="O311" s="6" t="n"/>
    </row>
    <row r="312">
      <c r="A312" s="112" t="n"/>
      <c r="B312" s="4" t="n"/>
      <c r="C312" s="4" t="n"/>
      <c r="D312" s="7" t="n"/>
      <c r="E312" s="7" t="n"/>
      <c r="F312" s="8">
        <f>IF(ISBLANK(B312),"",IF(I312="L","Baixa",IF(I312="A","Média",IF(I312="","","Alta"))))</f>
        <v/>
      </c>
      <c r="G312" s="7">
        <f>CONCATENATE(B312,I312)</f>
        <v/>
      </c>
      <c r="H312" s="5">
        <f>IF(ISBLANK(B312),"",IF(B312="ALI",IF(I312="L",7,IF(I312="A",10,15)),IF(B312="AIE",IF(I312="L",5,IF(I312="A",7,10)),IF(B312="SE",IF(I312="L",4,IF(I312="A",5,7)),IF(OR(B312="EE",B312="CE"),IF(I312="L",3,IF(I312="A",4,6)),0)))))</f>
        <v/>
      </c>
      <c r="I312" s="110">
        <f>IF(OR(ISBLANK(D312),ISBLANK(E312)),IF(OR(B312="ALI",B312="AIE"),"L",IF(OR(B312="EE",B312="SE",B312="CE"),"A","")),IF(B312="EE",IF(E312&gt;=3,IF(D312&gt;=5,"H","A"),IF(E312&gt;=2,IF(D312&gt;=16,"H",IF(D312&lt;=4,"L","A")),IF(D312&lt;=15,"L","A"))),IF(OR(B312="SE",B312="CE"),IF(E312&gt;=4,IF(D312&gt;=6,"H","A"),IF(E312&gt;=2,IF(D312&gt;=20,"H",IF(D312&lt;=5,"L","A")),IF(D312&lt;=19,"L","A"))),IF(OR(B312="ALI",B312="AIE"),IF(E312&gt;=6,IF(D312&gt;=20,"H","A"),IF(E312&gt;=2,IF(D312&gt;=51,"H",IF(D312&lt;=19,"L","A")),IF(D312&lt;=50,"L","A"))),""))))</f>
        <v/>
      </c>
      <c r="J312" s="7">
        <f>CONCATENATE(B312,C312)</f>
        <v/>
      </c>
      <c r="K312" s="9">
        <f>IF(OR(H312="",H312=0),L312,H312)</f>
        <v/>
      </c>
      <c r="L312" s="9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 t="n"/>
      <c r="N312" s="115" t="n"/>
      <c r="O312" s="6" t="n"/>
    </row>
    <row r="313">
      <c r="A313" s="112" t="n"/>
      <c r="B313" s="4" t="n"/>
      <c r="C313" s="4" t="n"/>
      <c r="D313" s="7" t="n"/>
      <c r="E313" s="7" t="n"/>
      <c r="F313" s="8">
        <f>IF(ISBLANK(B313),"",IF(I313="L","Baixa",IF(I313="A","Média",IF(I313="","","Alta"))))</f>
        <v/>
      </c>
      <c r="G313" s="7">
        <f>CONCATENATE(B313,I313)</f>
        <v/>
      </c>
      <c r="H313" s="5">
        <f>IF(ISBLANK(B313),"",IF(B313="ALI",IF(I313="L",7,IF(I313="A",10,15)),IF(B313="AIE",IF(I313="L",5,IF(I313="A",7,10)),IF(B313="SE",IF(I313="L",4,IF(I313="A",5,7)),IF(OR(B313="EE",B313="CE"),IF(I313="L",3,IF(I313="A",4,6)),0)))))</f>
        <v/>
      </c>
      <c r="I313" s="110">
        <f>IF(OR(ISBLANK(D313),ISBLANK(E313)),IF(OR(B313="ALI",B313="AIE"),"L",IF(OR(B313="EE",B313="SE",B313="CE"),"A","")),IF(B313="EE",IF(E313&gt;=3,IF(D313&gt;=5,"H","A"),IF(E313&gt;=2,IF(D313&gt;=16,"H",IF(D313&lt;=4,"L","A")),IF(D313&lt;=15,"L","A"))),IF(OR(B313="SE",B313="CE"),IF(E313&gt;=4,IF(D313&gt;=6,"H","A"),IF(E313&gt;=2,IF(D313&gt;=20,"H",IF(D313&lt;=5,"L","A")),IF(D313&lt;=19,"L","A"))),IF(OR(B313="ALI",B313="AIE"),IF(E313&gt;=6,IF(D313&gt;=20,"H","A"),IF(E313&gt;=2,IF(D313&gt;=51,"H",IF(D313&lt;=19,"L","A")),IF(D313&lt;=50,"L","A"))),""))))</f>
        <v/>
      </c>
      <c r="J313" s="7">
        <f>CONCATENATE(B313,C313)</f>
        <v/>
      </c>
      <c r="K313" s="9">
        <f>IF(OR(H313="",H313=0),L313,H313)</f>
        <v/>
      </c>
      <c r="L313" s="9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 t="n"/>
      <c r="N313" s="115" t="n"/>
      <c r="O313" s="6" t="n"/>
    </row>
    <row r="314">
      <c r="A314" s="112" t="n"/>
      <c r="B314" s="4" t="n"/>
      <c r="C314" s="4" t="n"/>
      <c r="D314" s="7" t="n"/>
      <c r="E314" s="7" t="n"/>
      <c r="F314" s="8">
        <f>IF(ISBLANK(B314),"",IF(I314="L","Baixa",IF(I314="A","Média",IF(I314="","","Alta"))))</f>
        <v/>
      </c>
      <c r="G314" s="7">
        <f>CONCATENATE(B314,I314)</f>
        <v/>
      </c>
      <c r="H314" s="5">
        <f>IF(ISBLANK(B314),"",IF(B314="ALI",IF(I314="L",7,IF(I314="A",10,15)),IF(B314="AIE",IF(I314="L",5,IF(I314="A",7,10)),IF(B314="SE",IF(I314="L",4,IF(I314="A",5,7)),IF(OR(B314="EE",B314="CE"),IF(I314="L",3,IF(I314="A",4,6)),0)))))</f>
        <v/>
      </c>
      <c r="I314" s="110">
        <f>IF(OR(ISBLANK(D314),ISBLANK(E314)),IF(OR(B314="ALI",B314="AIE"),"L",IF(OR(B314="EE",B314="SE",B314="CE"),"A","")),IF(B314="EE",IF(E314&gt;=3,IF(D314&gt;=5,"H","A"),IF(E314&gt;=2,IF(D314&gt;=16,"H",IF(D314&lt;=4,"L","A")),IF(D314&lt;=15,"L","A"))),IF(OR(B314="SE",B314="CE"),IF(E314&gt;=4,IF(D314&gt;=6,"H","A"),IF(E314&gt;=2,IF(D314&gt;=20,"H",IF(D314&lt;=5,"L","A")),IF(D314&lt;=19,"L","A"))),IF(OR(B314="ALI",B314="AIE"),IF(E314&gt;=6,IF(D314&gt;=20,"H","A"),IF(E314&gt;=2,IF(D314&gt;=51,"H",IF(D314&lt;=19,"L","A")),IF(D314&lt;=50,"L","A"))),""))))</f>
        <v/>
      </c>
      <c r="J314" s="7">
        <f>CONCATENATE(B314,C314)</f>
        <v/>
      </c>
      <c r="K314" s="9">
        <f>IF(OR(H314="",H314=0),L314,H314)</f>
        <v/>
      </c>
      <c r="L314" s="9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 t="n"/>
      <c r="N314" s="115" t="n"/>
      <c r="O314" s="6" t="n"/>
    </row>
    <row r="315">
      <c r="A315" s="112" t="n"/>
      <c r="B315" s="4" t="n"/>
      <c r="C315" s="4" t="n"/>
      <c r="D315" s="7" t="n"/>
      <c r="E315" s="7" t="n"/>
      <c r="F315" s="8">
        <f>IF(ISBLANK(B315),"",IF(I315="L","Baixa",IF(I315="A","Média",IF(I315="","","Alta"))))</f>
        <v/>
      </c>
      <c r="G315" s="7">
        <f>CONCATENATE(B315,I315)</f>
        <v/>
      </c>
      <c r="H315" s="5">
        <f>IF(ISBLANK(B315),"",IF(B315="ALI",IF(I315="L",7,IF(I315="A",10,15)),IF(B315="AIE",IF(I315="L",5,IF(I315="A",7,10)),IF(B315="SE",IF(I315="L",4,IF(I315="A",5,7)),IF(OR(B315="EE",B315="CE"),IF(I315="L",3,IF(I315="A",4,6)),0)))))</f>
        <v/>
      </c>
      <c r="I315" s="110">
        <f>IF(OR(ISBLANK(D315),ISBLANK(E315)),IF(OR(B315="ALI",B315="AIE"),"L",IF(OR(B315="EE",B315="SE",B315="CE"),"A","")),IF(B315="EE",IF(E315&gt;=3,IF(D315&gt;=5,"H","A"),IF(E315&gt;=2,IF(D315&gt;=16,"H",IF(D315&lt;=4,"L","A")),IF(D315&lt;=15,"L","A"))),IF(OR(B315="SE",B315="CE"),IF(E315&gt;=4,IF(D315&gt;=6,"H","A"),IF(E315&gt;=2,IF(D315&gt;=20,"H",IF(D315&lt;=5,"L","A")),IF(D315&lt;=19,"L","A"))),IF(OR(B315="ALI",B315="AIE"),IF(E315&gt;=6,IF(D315&gt;=20,"H","A"),IF(E315&gt;=2,IF(D315&gt;=51,"H",IF(D315&lt;=19,"L","A")),IF(D315&lt;=50,"L","A"))),""))))</f>
        <v/>
      </c>
      <c r="J315" s="7">
        <f>CONCATENATE(B315,C315)</f>
        <v/>
      </c>
      <c r="K315" s="9">
        <f>IF(OR(H315="",H315=0),L315,H315)</f>
        <v/>
      </c>
      <c r="L315" s="9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 t="n"/>
      <c r="N315" s="115" t="n"/>
      <c r="O315" s="6" t="n"/>
    </row>
    <row r="316">
      <c r="A316" s="112" t="n"/>
      <c r="B316" s="4" t="n"/>
      <c r="C316" s="4" t="n"/>
      <c r="D316" s="7" t="n"/>
      <c r="E316" s="7" t="n"/>
      <c r="F316" s="8">
        <f>IF(ISBLANK(B316),"",IF(I316="L","Baixa",IF(I316="A","Média",IF(I316="","","Alta"))))</f>
        <v/>
      </c>
      <c r="G316" s="7">
        <f>CONCATENATE(B316,I316)</f>
        <v/>
      </c>
      <c r="H316" s="5">
        <f>IF(ISBLANK(B316),"",IF(B316="ALI",IF(I316="L",7,IF(I316="A",10,15)),IF(B316="AIE",IF(I316="L",5,IF(I316="A",7,10)),IF(B316="SE",IF(I316="L",4,IF(I316="A",5,7)),IF(OR(B316="EE",B316="CE"),IF(I316="L",3,IF(I316="A",4,6)),0)))))</f>
        <v/>
      </c>
      <c r="I316" s="110">
        <f>IF(OR(ISBLANK(D316),ISBLANK(E316)),IF(OR(B316="ALI",B316="AIE"),"L",IF(OR(B316="EE",B316="SE",B316="CE"),"A","")),IF(B316="EE",IF(E316&gt;=3,IF(D316&gt;=5,"H","A"),IF(E316&gt;=2,IF(D316&gt;=16,"H",IF(D316&lt;=4,"L","A")),IF(D316&lt;=15,"L","A"))),IF(OR(B316="SE",B316="CE"),IF(E316&gt;=4,IF(D316&gt;=6,"H","A"),IF(E316&gt;=2,IF(D316&gt;=20,"H",IF(D316&lt;=5,"L","A")),IF(D316&lt;=19,"L","A"))),IF(OR(B316="ALI",B316="AIE"),IF(E316&gt;=6,IF(D316&gt;=20,"H","A"),IF(E316&gt;=2,IF(D316&gt;=51,"H",IF(D316&lt;=19,"L","A")),IF(D316&lt;=50,"L","A"))),""))))</f>
        <v/>
      </c>
      <c r="J316" s="7">
        <f>CONCATENATE(B316,C316)</f>
        <v/>
      </c>
      <c r="K316" s="9">
        <f>IF(OR(H316="",H316=0),L316,H316)</f>
        <v/>
      </c>
      <c r="L316" s="9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 t="n"/>
      <c r="N316" s="115" t="n"/>
      <c r="O316" s="6" t="n"/>
    </row>
    <row r="317">
      <c r="A317" s="112" t="n"/>
      <c r="B317" s="4" t="n"/>
      <c r="C317" s="4" t="n"/>
      <c r="D317" s="7" t="n"/>
      <c r="E317" s="7" t="n"/>
      <c r="F317" s="8">
        <f>IF(ISBLANK(B317),"",IF(I317="L","Baixa",IF(I317="A","Média",IF(I317="","","Alta"))))</f>
        <v/>
      </c>
      <c r="G317" s="7">
        <f>CONCATENATE(B317,I317)</f>
        <v/>
      </c>
      <c r="H317" s="5">
        <f>IF(ISBLANK(B317),"",IF(B317="ALI",IF(I317="L",7,IF(I317="A",10,15)),IF(B317="AIE",IF(I317="L",5,IF(I317="A",7,10)),IF(B317="SE",IF(I317="L",4,IF(I317="A",5,7)),IF(OR(B317="EE",B317="CE"),IF(I317="L",3,IF(I317="A",4,6)),0)))))</f>
        <v/>
      </c>
      <c r="I317" s="110">
        <f>IF(OR(ISBLANK(D317),ISBLANK(E317)),IF(OR(B317="ALI",B317="AIE"),"L",IF(OR(B317="EE",B317="SE",B317="CE"),"A","")),IF(B317="EE",IF(E317&gt;=3,IF(D317&gt;=5,"H","A"),IF(E317&gt;=2,IF(D317&gt;=16,"H",IF(D317&lt;=4,"L","A")),IF(D317&lt;=15,"L","A"))),IF(OR(B317="SE",B317="CE"),IF(E317&gt;=4,IF(D317&gt;=6,"H","A"),IF(E317&gt;=2,IF(D317&gt;=20,"H",IF(D317&lt;=5,"L","A")),IF(D317&lt;=19,"L","A"))),IF(OR(B317="ALI",B317="AIE"),IF(E317&gt;=6,IF(D317&gt;=20,"H","A"),IF(E317&gt;=2,IF(D317&gt;=51,"H",IF(D317&lt;=19,"L","A")),IF(D317&lt;=50,"L","A"))),""))))</f>
        <v/>
      </c>
      <c r="J317" s="7">
        <f>CONCATENATE(B317,C317)</f>
        <v/>
      </c>
      <c r="K317" s="9">
        <f>IF(OR(H317="",H317=0),L317,H317)</f>
        <v/>
      </c>
      <c r="L317" s="9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 t="n"/>
      <c r="N317" s="115" t="n"/>
      <c r="O317" s="6" t="n"/>
    </row>
    <row r="318">
      <c r="A318" s="112" t="n"/>
      <c r="B318" s="4" t="n"/>
      <c r="C318" s="4" t="n"/>
      <c r="D318" s="7" t="n"/>
      <c r="E318" s="7" t="n"/>
      <c r="F318" s="8">
        <f>IF(ISBLANK(B318),"",IF(I318="L","Baixa",IF(I318="A","Média",IF(I318="","","Alta"))))</f>
        <v/>
      </c>
      <c r="G318" s="7">
        <f>CONCATENATE(B318,I318)</f>
        <v/>
      </c>
      <c r="H318" s="5">
        <f>IF(ISBLANK(B318),"",IF(B318="ALI",IF(I318="L",7,IF(I318="A",10,15)),IF(B318="AIE",IF(I318="L",5,IF(I318="A",7,10)),IF(B318="SE",IF(I318="L",4,IF(I318="A",5,7)),IF(OR(B318="EE",B318="CE"),IF(I318="L",3,IF(I318="A",4,6)),0)))))</f>
        <v/>
      </c>
      <c r="I318" s="110">
        <f>IF(OR(ISBLANK(D318),ISBLANK(E318)),IF(OR(B318="ALI",B318="AIE"),"L",IF(OR(B318="EE",B318="SE",B318="CE"),"A","")),IF(B318="EE",IF(E318&gt;=3,IF(D318&gt;=5,"H","A"),IF(E318&gt;=2,IF(D318&gt;=16,"H",IF(D318&lt;=4,"L","A")),IF(D318&lt;=15,"L","A"))),IF(OR(B318="SE",B318="CE"),IF(E318&gt;=4,IF(D318&gt;=6,"H","A"),IF(E318&gt;=2,IF(D318&gt;=20,"H",IF(D318&lt;=5,"L","A")),IF(D318&lt;=19,"L","A"))),IF(OR(B318="ALI",B318="AIE"),IF(E318&gt;=6,IF(D318&gt;=20,"H","A"),IF(E318&gt;=2,IF(D318&gt;=51,"H",IF(D318&lt;=19,"L","A")),IF(D318&lt;=50,"L","A"))),""))))</f>
        <v/>
      </c>
      <c r="J318" s="7">
        <f>CONCATENATE(B318,C318)</f>
        <v/>
      </c>
      <c r="K318" s="9">
        <f>IF(OR(H318="",H318=0),L318,H318)</f>
        <v/>
      </c>
      <c r="L318" s="9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 t="n"/>
      <c r="N318" s="115" t="n"/>
      <c r="O318" s="6" t="n"/>
    </row>
    <row r="319">
      <c r="A319" s="112" t="n"/>
      <c r="B319" s="4" t="n"/>
      <c r="C319" s="4" t="n"/>
      <c r="D319" s="7" t="n"/>
      <c r="E319" s="7" t="n"/>
      <c r="F319" s="8">
        <f>IF(ISBLANK(B319),"",IF(I319="L","Baixa",IF(I319="A","Média",IF(I319="","","Alta"))))</f>
        <v/>
      </c>
      <c r="G319" s="7">
        <f>CONCATENATE(B319,I319)</f>
        <v/>
      </c>
      <c r="H319" s="5">
        <f>IF(ISBLANK(B319),"",IF(B319="ALI",IF(I319="L",7,IF(I319="A",10,15)),IF(B319="AIE",IF(I319="L",5,IF(I319="A",7,10)),IF(B319="SE",IF(I319="L",4,IF(I319="A",5,7)),IF(OR(B319="EE",B319="CE"),IF(I319="L",3,IF(I319="A",4,6)),0)))))</f>
        <v/>
      </c>
      <c r="I319" s="110">
        <f>IF(OR(ISBLANK(D319),ISBLANK(E319)),IF(OR(B319="ALI",B319="AIE"),"L",IF(OR(B319="EE",B319="SE",B319="CE"),"A","")),IF(B319="EE",IF(E319&gt;=3,IF(D319&gt;=5,"H","A"),IF(E319&gt;=2,IF(D319&gt;=16,"H",IF(D319&lt;=4,"L","A")),IF(D319&lt;=15,"L","A"))),IF(OR(B319="SE",B319="CE"),IF(E319&gt;=4,IF(D319&gt;=6,"H","A"),IF(E319&gt;=2,IF(D319&gt;=20,"H",IF(D319&lt;=5,"L","A")),IF(D319&lt;=19,"L","A"))),IF(OR(B319="ALI",B319="AIE"),IF(E319&gt;=6,IF(D319&gt;=20,"H","A"),IF(E319&gt;=2,IF(D319&gt;=51,"H",IF(D319&lt;=19,"L","A")),IF(D319&lt;=50,"L","A"))),""))))</f>
        <v/>
      </c>
      <c r="J319" s="7">
        <f>CONCATENATE(B319,C319)</f>
        <v/>
      </c>
      <c r="K319" s="9">
        <f>IF(OR(H319="",H319=0),L319,H319)</f>
        <v/>
      </c>
      <c r="L319" s="9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 t="n"/>
      <c r="N319" s="115" t="n"/>
      <c r="O319" s="6" t="n"/>
    </row>
    <row r="320">
      <c r="A320" s="112" t="n"/>
      <c r="B320" s="4" t="n"/>
      <c r="C320" s="4" t="n"/>
      <c r="D320" s="7" t="n"/>
      <c r="E320" s="7" t="n"/>
      <c r="F320" s="8">
        <f>IF(ISBLANK(B320),"",IF(I320="L","Baixa",IF(I320="A","Média",IF(I320="","","Alta"))))</f>
        <v/>
      </c>
      <c r="G320" s="7">
        <f>CONCATENATE(B320,I320)</f>
        <v/>
      </c>
      <c r="H320" s="5">
        <f>IF(ISBLANK(B320),"",IF(B320="ALI",IF(I320="L",7,IF(I320="A",10,15)),IF(B320="AIE",IF(I320="L",5,IF(I320="A",7,10)),IF(B320="SE",IF(I320="L",4,IF(I320="A",5,7)),IF(OR(B320="EE",B320="CE"),IF(I320="L",3,IF(I320="A",4,6)),0)))))</f>
        <v/>
      </c>
      <c r="I320" s="110">
        <f>IF(OR(ISBLANK(D320),ISBLANK(E320)),IF(OR(B320="ALI",B320="AIE"),"L",IF(OR(B320="EE",B320="SE",B320="CE"),"A","")),IF(B320="EE",IF(E320&gt;=3,IF(D320&gt;=5,"H","A"),IF(E320&gt;=2,IF(D320&gt;=16,"H",IF(D320&lt;=4,"L","A")),IF(D320&lt;=15,"L","A"))),IF(OR(B320="SE",B320="CE"),IF(E320&gt;=4,IF(D320&gt;=6,"H","A"),IF(E320&gt;=2,IF(D320&gt;=20,"H",IF(D320&lt;=5,"L","A")),IF(D320&lt;=19,"L","A"))),IF(OR(B320="ALI",B320="AIE"),IF(E320&gt;=6,IF(D320&gt;=20,"H","A"),IF(E320&gt;=2,IF(D320&gt;=51,"H",IF(D320&lt;=19,"L","A")),IF(D320&lt;=50,"L","A"))),""))))</f>
        <v/>
      </c>
      <c r="J320" s="7">
        <f>CONCATENATE(B320,C320)</f>
        <v/>
      </c>
      <c r="K320" s="9">
        <f>IF(OR(H320="",H320=0),L320,H320)</f>
        <v/>
      </c>
      <c r="L320" s="9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 t="n"/>
      <c r="N320" s="115" t="n"/>
      <c r="O320" s="6" t="n"/>
    </row>
    <row r="321">
      <c r="A321" s="112" t="n"/>
      <c r="B321" s="4" t="n"/>
      <c r="C321" s="4" t="n"/>
      <c r="D321" s="7" t="n"/>
      <c r="E321" s="7" t="n"/>
      <c r="F321" s="8">
        <f>IF(ISBLANK(B321),"",IF(I321="L","Baixa",IF(I321="A","Média",IF(I321="","","Alta"))))</f>
        <v/>
      </c>
      <c r="G321" s="7">
        <f>CONCATENATE(B321,I321)</f>
        <v/>
      </c>
      <c r="H321" s="5">
        <f>IF(ISBLANK(B321),"",IF(B321="ALI",IF(I321="L",7,IF(I321="A",10,15)),IF(B321="AIE",IF(I321="L",5,IF(I321="A",7,10)),IF(B321="SE",IF(I321="L",4,IF(I321="A",5,7)),IF(OR(B321="EE",B321="CE"),IF(I321="L",3,IF(I321="A",4,6)),0)))))</f>
        <v/>
      </c>
      <c r="I321" s="110">
        <f>IF(OR(ISBLANK(D321),ISBLANK(E321)),IF(OR(B321="ALI",B321="AIE"),"L",IF(OR(B321="EE",B321="SE",B321="CE"),"A","")),IF(B321="EE",IF(E321&gt;=3,IF(D321&gt;=5,"H","A"),IF(E321&gt;=2,IF(D321&gt;=16,"H",IF(D321&lt;=4,"L","A")),IF(D321&lt;=15,"L","A"))),IF(OR(B321="SE",B321="CE"),IF(E321&gt;=4,IF(D321&gt;=6,"H","A"),IF(E321&gt;=2,IF(D321&gt;=20,"H",IF(D321&lt;=5,"L","A")),IF(D321&lt;=19,"L","A"))),IF(OR(B321="ALI",B321="AIE"),IF(E321&gt;=6,IF(D321&gt;=20,"H","A"),IF(E321&gt;=2,IF(D321&gt;=51,"H",IF(D321&lt;=19,"L","A")),IF(D321&lt;=50,"L","A"))),""))))</f>
        <v/>
      </c>
      <c r="J321" s="7">
        <f>CONCATENATE(B321,C321)</f>
        <v/>
      </c>
      <c r="K321" s="9">
        <f>IF(OR(H321="",H321=0),L321,H321)</f>
        <v/>
      </c>
      <c r="L321" s="9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 t="n"/>
      <c r="N321" s="115" t="n"/>
      <c r="O321" s="6" t="n"/>
    </row>
    <row r="322">
      <c r="A322" s="112" t="n"/>
      <c r="B322" s="4" t="n"/>
      <c r="C322" s="4" t="n"/>
      <c r="D322" s="7" t="n"/>
      <c r="E322" s="7" t="n"/>
      <c r="F322" s="8">
        <f>IF(ISBLANK(B322),"",IF(I322="L","Baixa",IF(I322="A","Média",IF(I322="","","Alta"))))</f>
        <v/>
      </c>
      <c r="G322" s="7">
        <f>CONCATENATE(B322,I322)</f>
        <v/>
      </c>
      <c r="H322" s="5">
        <f>IF(ISBLANK(B322),"",IF(B322="ALI",IF(I322="L",7,IF(I322="A",10,15)),IF(B322="AIE",IF(I322="L",5,IF(I322="A",7,10)),IF(B322="SE",IF(I322="L",4,IF(I322="A",5,7)),IF(OR(B322="EE",B322="CE"),IF(I322="L",3,IF(I322="A",4,6)),0)))))</f>
        <v/>
      </c>
      <c r="I322" s="110">
        <f>IF(OR(ISBLANK(D322),ISBLANK(E322)),IF(OR(B322="ALI",B322="AIE"),"L",IF(OR(B322="EE",B322="SE",B322="CE"),"A","")),IF(B322="EE",IF(E322&gt;=3,IF(D322&gt;=5,"H","A"),IF(E322&gt;=2,IF(D322&gt;=16,"H",IF(D322&lt;=4,"L","A")),IF(D322&lt;=15,"L","A"))),IF(OR(B322="SE",B322="CE"),IF(E322&gt;=4,IF(D322&gt;=6,"H","A"),IF(E322&gt;=2,IF(D322&gt;=20,"H",IF(D322&lt;=5,"L","A")),IF(D322&lt;=19,"L","A"))),IF(OR(B322="ALI",B322="AIE"),IF(E322&gt;=6,IF(D322&gt;=20,"H","A"),IF(E322&gt;=2,IF(D322&gt;=51,"H",IF(D322&lt;=19,"L","A")),IF(D322&lt;=50,"L","A"))),""))))</f>
        <v/>
      </c>
      <c r="J322" s="7">
        <f>CONCATENATE(B322,C322)</f>
        <v/>
      </c>
      <c r="K322" s="9">
        <f>IF(OR(H322="",H322=0),L322,H322)</f>
        <v/>
      </c>
      <c r="L322" s="9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 t="n"/>
      <c r="N322" s="115" t="n"/>
      <c r="O322" s="6" t="n"/>
    </row>
    <row r="323">
      <c r="A323" s="112" t="n"/>
      <c r="B323" s="4" t="n"/>
      <c r="C323" s="4" t="n"/>
      <c r="D323" s="7" t="n"/>
      <c r="E323" s="7" t="n"/>
      <c r="F323" s="8">
        <f>IF(ISBLANK(B323),"",IF(I323="L","Baixa",IF(I323="A","Média",IF(I323="","","Alta"))))</f>
        <v/>
      </c>
      <c r="G323" s="7">
        <f>CONCATENATE(B323,I323)</f>
        <v/>
      </c>
      <c r="H323" s="5">
        <f>IF(ISBLANK(B323),"",IF(B323="ALI",IF(I323="L",7,IF(I323="A",10,15)),IF(B323="AIE",IF(I323="L",5,IF(I323="A",7,10)),IF(B323="SE",IF(I323="L",4,IF(I323="A",5,7)),IF(OR(B323="EE",B323="CE"),IF(I323="L",3,IF(I323="A",4,6)),0)))))</f>
        <v/>
      </c>
      <c r="I323" s="110">
        <f>IF(OR(ISBLANK(D323),ISBLANK(E323)),IF(OR(B323="ALI",B323="AIE"),"L",IF(OR(B323="EE",B323="SE",B323="CE"),"A","")),IF(B323="EE",IF(E323&gt;=3,IF(D323&gt;=5,"H","A"),IF(E323&gt;=2,IF(D323&gt;=16,"H",IF(D323&lt;=4,"L","A")),IF(D323&lt;=15,"L","A"))),IF(OR(B323="SE",B323="CE"),IF(E323&gt;=4,IF(D323&gt;=6,"H","A"),IF(E323&gt;=2,IF(D323&gt;=20,"H",IF(D323&lt;=5,"L","A")),IF(D323&lt;=19,"L","A"))),IF(OR(B323="ALI",B323="AIE"),IF(E323&gt;=6,IF(D323&gt;=20,"H","A"),IF(E323&gt;=2,IF(D323&gt;=51,"H",IF(D323&lt;=19,"L","A")),IF(D323&lt;=50,"L","A"))),""))))</f>
        <v/>
      </c>
      <c r="J323" s="7">
        <f>CONCATENATE(B323,C323)</f>
        <v/>
      </c>
      <c r="K323" s="9">
        <f>IF(OR(H323="",H323=0),L323,H323)</f>
        <v/>
      </c>
      <c r="L323" s="9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 t="n"/>
      <c r="N323" s="115" t="n"/>
      <c r="O323" s="6" t="n"/>
    </row>
    <row r="324">
      <c r="A324" s="112" t="n"/>
      <c r="B324" s="4" t="n"/>
      <c r="C324" s="4" t="n"/>
      <c r="D324" s="7" t="n"/>
      <c r="E324" s="7" t="n"/>
      <c r="F324" s="8">
        <f>IF(ISBLANK(B324),"",IF(I324="L","Baixa",IF(I324="A","Média",IF(I324="","","Alta"))))</f>
        <v/>
      </c>
      <c r="G324" s="7">
        <f>CONCATENATE(B324,I324)</f>
        <v/>
      </c>
      <c r="H324" s="5">
        <f>IF(ISBLANK(B324),"",IF(B324="ALI",IF(I324="L",7,IF(I324="A",10,15)),IF(B324="AIE",IF(I324="L",5,IF(I324="A",7,10)),IF(B324="SE",IF(I324="L",4,IF(I324="A",5,7)),IF(OR(B324="EE",B324="CE"),IF(I324="L",3,IF(I324="A",4,6)),0)))))</f>
        <v/>
      </c>
      <c r="I324" s="110">
        <f>IF(OR(ISBLANK(D324),ISBLANK(E324)),IF(OR(B324="ALI",B324="AIE"),"L",IF(OR(B324="EE",B324="SE",B324="CE"),"A","")),IF(B324="EE",IF(E324&gt;=3,IF(D324&gt;=5,"H","A"),IF(E324&gt;=2,IF(D324&gt;=16,"H",IF(D324&lt;=4,"L","A")),IF(D324&lt;=15,"L","A"))),IF(OR(B324="SE",B324="CE"),IF(E324&gt;=4,IF(D324&gt;=6,"H","A"),IF(E324&gt;=2,IF(D324&gt;=20,"H",IF(D324&lt;=5,"L","A")),IF(D324&lt;=19,"L","A"))),IF(OR(B324="ALI",B324="AIE"),IF(E324&gt;=6,IF(D324&gt;=20,"H","A"),IF(E324&gt;=2,IF(D324&gt;=51,"H",IF(D324&lt;=19,"L","A")),IF(D324&lt;=50,"L","A"))),""))))</f>
        <v/>
      </c>
      <c r="J324" s="7">
        <f>CONCATENATE(B324,C324)</f>
        <v/>
      </c>
      <c r="K324" s="9">
        <f>IF(OR(H324="",H324=0),L324,H324)</f>
        <v/>
      </c>
      <c r="L324" s="9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 t="n"/>
      <c r="N324" s="115" t="n"/>
      <c r="O324" s="6" t="n"/>
    </row>
    <row r="325">
      <c r="A325" s="112" t="n"/>
      <c r="B325" s="4" t="n"/>
      <c r="C325" s="4" t="n"/>
      <c r="D325" s="7" t="n"/>
      <c r="E325" s="7" t="n"/>
      <c r="F325" s="8">
        <f>IF(ISBLANK(B325),"",IF(I325="L","Baixa",IF(I325="A","Média",IF(I325="","","Alta"))))</f>
        <v/>
      </c>
      <c r="G325" s="7">
        <f>CONCATENATE(B325,I325)</f>
        <v/>
      </c>
      <c r="H325" s="5">
        <f>IF(ISBLANK(B325),"",IF(B325="ALI",IF(I325="L",7,IF(I325="A",10,15)),IF(B325="AIE",IF(I325="L",5,IF(I325="A",7,10)),IF(B325="SE",IF(I325="L",4,IF(I325="A",5,7)),IF(OR(B325="EE",B325="CE"),IF(I325="L",3,IF(I325="A",4,6)),0)))))</f>
        <v/>
      </c>
      <c r="I325" s="110">
        <f>IF(OR(ISBLANK(D325),ISBLANK(E325)),IF(OR(B325="ALI",B325="AIE"),"L",IF(OR(B325="EE",B325="SE",B325="CE"),"A","")),IF(B325="EE",IF(E325&gt;=3,IF(D325&gt;=5,"H","A"),IF(E325&gt;=2,IF(D325&gt;=16,"H",IF(D325&lt;=4,"L","A")),IF(D325&lt;=15,"L","A"))),IF(OR(B325="SE",B325="CE"),IF(E325&gt;=4,IF(D325&gt;=6,"H","A"),IF(E325&gt;=2,IF(D325&gt;=20,"H",IF(D325&lt;=5,"L","A")),IF(D325&lt;=19,"L","A"))),IF(OR(B325="ALI",B325="AIE"),IF(E325&gt;=6,IF(D325&gt;=20,"H","A"),IF(E325&gt;=2,IF(D325&gt;=51,"H",IF(D325&lt;=19,"L","A")),IF(D325&lt;=50,"L","A"))),""))))</f>
        <v/>
      </c>
      <c r="J325" s="7">
        <f>CONCATENATE(B325,C325)</f>
        <v/>
      </c>
      <c r="K325" s="9">
        <f>IF(OR(H325="",H325=0),L325,H325)</f>
        <v/>
      </c>
      <c r="L325" s="9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 t="n"/>
      <c r="N325" s="115" t="n"/>
      <c r="O325" s="6" t="n"/>
    </row>
    <row r="326">
      <c r="A326" s="112" t="n"/>
      <c r="B326" s="4" t="n"/>
      <c r="C326" s="4" t="n"/>
      <c r="D326" s="7" t="n"/>
      <c r="E326" s="7" t="n"/>
      <c r="F326" s="8">
        <f>IF(ISBLANK(B326),"",IF(I326="L","Baixa",IF(I326="A","Média",IF(I326="","","Alta"))))</f>
        <v/>
      </c>
      <c r="G326" s="7">
        <f>CONCATENATE(B326,I326)</f>
        <v/>
      </c>
      <c r="H326" s="5">
        <f>IF(ISBLANK(B326),"",IF(B326="ALI",IF(I326="L",7,IF(I326="A",10,15)),IF(B326="AIE",IF(I326="L",5,IF(I326="A",7,10)),IF(B326="SE",IF(I326="L",4,IF(I326="A",5,7)),IF(OR(B326="EE",B326="CE"),IF(I326="L",3,IF(I326="A",4,6)),0)))))</f>
        <v/>
      </c>
      <c r="I326" s="110">
        <f>IF(OR(ISBLANK(D326),ISBLANK(E326)),IF(OR(B326="ALI",B326="AIE"),"L",IF(OR(B326="EE",B326="SE",B326="CE"),"A","")),IF(B326="EE",IF(E326&gt;=3,IF(D326&gt;=5,"H","A"),IF(E326&gt;=2,IF(D326&gt;=16,"H",IF(D326&lt;=4,"L","A")),IF(D326&lt;=15,"L","A"))),IF(OR(B326="SE",B326="CE"),IF(E326&gt;=4,IF(D326&gt;=6,"H","A"),IF(E326&gt;=2,IF(D326&gt;=20,"H",IF(D326&lt;=5,"L","A")),IF(D326&lt;=19,"L","A"))),IF(OR(B326="ALI",B326="AIE"),IF(E326&gt;=6,IF(D326&gt;=20,"H","A"),IF(E326&gt;=2,IF(D326&gt;=51,"H",IF(D326&lt;=19,"L","A")),IF(D326&lt;=50,"L","A"))),""))))</f>
        <v/>
      </c>
      <c r="J326" s="7">
        <f>CONCATENATE(B326,C326)</f>
        <v/>
      </c>
      <c r="K326" s="9">
        <f>IF(OR(H326="",H326=0),L326,H326)</f>
        <v/>
      </c>
      <c r="L326" s="9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 t="n"/>
      <c r="N326" s="115" t="n"/>
      <c r="O326" s="6" t="n"/>
    </row>
    <row r="327">
      <c r="A327" s="112" t="n"/>
      <c r="B327" s="4" t="n"/>
      <c r="C327" s="4" t="n"/>
      <c r="D327" s="7" t="n"/>
      <c r="E327" s="7" t="n"/>
      <c r="F327" s="8">
        <f>IF(ISBLANK(B327),"",IF(I327="L","Baixa",IF(I327="A","Média",IF(I327="","","Alta"))))</f>
        <v/>
      </c>
      <c r="G327" s="7">
        <f>CONCATENATE(B327,I327)</f>
        <v/>
      </c>
      <c r="H327" s="5">
        <f>IF(ISBLANK(B327),"",IF(B327="ALI",IF(I327="L",7,IF(I327="A",10,15)),IF(B327="AIE",IF(I327="L",5,IF(I327="A",7,10)),IF(B327="SE",IF(I327="L",4,IF(I327="A",5,7)),IF(OR(B327="EE",B327="CE"),IF(I327="L",3,IF(I327="A",4,6)),0)))))</f>
        <v/>
      </c>
      <c r="I327" s="110">
        <f>IF(OR(ISBLANK(D327),ISBLANK(E327)),IF(OR(B327="ALI",B327="AIE"),"L",IF(OR(B327="EE",B327="SE",B327="CE"),"A","")),IF(B327="EE",IF(E327&gt;=3,IF(D327&gt;=5,"H","A"),IF(E327&gt;=2,IF(D327&gt;=16,"H",IF(D327&lt;=4,"L","A")),IF(D327&lt;=15,"L","A"))),IF(OR(B327="SE",B327="CE"),IF(E327&gt;=4,IF(D327&gt;=6,"H","A"),IF(E327&gt;=2,IF(D327&gt;=20,"H",IF(D327&lt;=5,"L","A")),IF(D327&lt;=19,"L","A"))),IF(OR(B327="ALI",B327="AIE"),IF(E327&gt;=6,IF(D327&gt;=20,"H","A"),IF(E327&gt;=2,IF(D327&gt;=51,"H",IF(D327&lt;=19,"L","A")),IF(D327&lt;=50,"L","A"))),""))))</f>
        <v/>
      </c>
      <c r="J327" s="7">
        <f>CONCATENATE(B327,C327)</f>
        <v/>
      </c>
      <c r="K327" s="9">
        <f>IF(OR(H327="",H327=0),L327,H327)</f>
        <v/>
      </c>
      <c r="L327" s="9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 t="n"/>
      <c r="N327" s="115" t="n"/>
      <c r="O327" s="6" t="n"/>
    </row>
    <row r="328">
      <c r="A328" s="112" t="n"/>
      <c r="B328" s="4" t="n"/>
      <c r="C328" s="4" t="n"/>
      <c r="D328" s="7" t="n"/>
      <c r="E328" s="7" t="n"/>
      <c r="F328" s="8">
        <f>IF(ISBLANK(B328),"",IF(I328="L","Baixa",IF(I328="A","Média",IF(I328="","","Alta"))))</f>
        <v/>
      </c>
      <c r="G328" s="7">
        <f>CONCATENATE(B328,I328)</f>
        <v/>
      </c>
      <c r="H328" s="5">
        <f>IF(ISBLANK(B328),"",IF(B328="ALI",IF(I328="L",7,IF(I328="A",10,15)),IF(B328="AIE",IF(I328="L",5,IF(I328="A",7,10)),IF(B328="SE",IF(I328="L",4,IF(I328="A",5,7)),IF(OR(B328="EE",B328="CE"),IF(I328="L",3,IF(I328="A",4,6)),0)))))</f>
        <v/>
      </c>
      <c r="I328" s="110">
        <f>IF(OR(ISBLANK(D328),ISBLANK(E328)),IF(OR(B328="ALI",B328="AIE"),"L",IF(OR(B328="EE",B328="SE",B328="CE"),"A","")),IF(B328="EE",IF(E328&gt;=3,IF(D328&gt;=5,"H","A"),IF(E328&gt;=2,IF(D328&gt;=16,"H",IF(D328&lt;=4,"L","A")),IF(D328&lt;=15,"L","A"))),IF(OR(B328="SE",B328="CE"),IF(E328&gt;=4,IF(D328&gt;=6,"H","A"),IF(E328&gt;=2,IF(D328&gt;=20,"H",IF(D328&lt;=5,"L","A")),IF(D328&lt;=19,"L","A"))),IF(OR(B328="ALI",B328="AIE"),IF(E328&gt;=6,IF(D328&gt;=20,"H","A"),IF(E328&gt;=2,IF(D328&gt;=51,"H",IF(D328&lt;=19,"L","A")),IF(D328&lt;=50,"L","A"))),""))))</f>
        <v/>
      </c>
      <c r="J328" s="7">
        <f>CONCATENATE(B328,C328)</f>
        <v/>
      </c>
      <c r="K328" s="9">
        <f>IF(OR(H328="",H328=0),L328,H328)</f>
        <v/>
      </c>
      <c r="L328" s="9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 t="n"/>
      <c r="N328" s="115" t="n"/>
      <c r="O328" s="6" t="n"/>
    </row>
    <row r="329">
      <c r="A329" s="112" t="n"/>
      <c r="B329" s="4" t="n"/>
      <c r="C329" s="4" t="n"/>
      <c r="D329" s="7" t="n"/>
      <c r="E329" s="7" t="n"/>
      <c r="F329" s="8">
        <f>IF(ISBLANK(B329),"",IF(I329="L","Baixa",IF(I329="A","Média",IF(I329="","","Alta"))))</f>
        <v/>
      </c>
      <c r="G329" s="7">
        <f>CONCATENATE(B329,I329)</f>
        <v/>
      </c>
      <c r="H329" s="5">
        <f>IF(ISBLANK(B329),"",IF(B329="ALI",IF(I329="L",7,IF(I329="A",10,15)),IF(B329="AIE",IF(I329="L",5,IF(I329="A",7,10)),IF(B329="SE",IF(I329="L",4,IF(I329="A",5,7)),IF(OR(B329="EE",B329="CE"),IF(I329="L",3,IF(I329="A",4,6)),0)))))</f>
        <v/>
      </c>
      <c r="I329" s="110">
        <f>IF(OR(ISBLANK(D329),ISBLANK(E329)),IF(OR(B329="ALI",B329="AIE"),"L",IF(OR(B329="EE",B329="SE",B329="CE"),"A","")),IF(B329="EE",IF(E329&gt;=3,IF(D329&gt;=5,"H","A"),IF(E329&gt;=2,IF(D329&gt;=16,"H",IF(D329&lt;=4,"L","A")),IF(D329&lt;=15,"L","A"))),IF(OR(B329="SE",B329="CE"),IF(E329&gt;=4,IF(D329&gt;=6,"H","A"),IF(E329&gt;=2,IF(D329&gt;=20,"H",IF(D329&lt;=5,"L","A")),IF(D329&lt;=19,"L","A"))),IF(OR(B329="ALI",B329="AIE"),IF(E329&gt;=6,IF(D329&gt;=20,"H","A"),IF(E329&gt;=2,IF(D329&gt;=51,"H",IF(D329&lt;=19,"L","A")),IF(D329&lt;=50,"L","A"))),""))))</f>
        <v/>
      </c>
      <c r="J329" s="7">
        <f>CONCATENATE(B329,C329)</f>
        <v/>
      </c>
      <c r="K329" s="9">
        <f>IF(OR(H329="",H329=0),L329,H329)</f>
        <v/>
      </c>
      <c r="L329" s="9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 t="n"/>
      <c r="N329" s="115" t="n"/>
      <c r="O329" s="6" t="n"/>
    </row>
    <row r="330">
      <c r="A330" s="112" t="n"/>
      <c r="B330" s="4" t="n"/>
      <c r="C330" s="4" t="n"/>
      <c r="D330" s="7" t="n"/>
      <c r="E330" s="7" t="n"/>
      <c r="F330" s="8">
        <f>IF(ISBLANK(B330),"",IF(I330="L","Baixa",IF(I330="A","Média",IF(I330="","","Alta"))))</f>
        <v/>
      </c>
      <c r="G330" s="7">
        <f>CONCATENATE(B330,I330)</f>
        <v/>
      </c>
      <c r="H330" s="5">
        <f>IF(ISBLANK(B330),"",IF(B330="ALI",IF(I330="L",7,IF(I330="A",10,15)),IF(B330="AIE",IF(I330="L",5,IF(I330="A",7,10)),IF(B330="SE",IF(I330="L",4,IF(I330="A",5,7)),IF(OR(B330="EE",B330="CE"),IF(I330="L",3,IF(I330="A",4,6)),0)))))</f>
        <v/>
      </c>
      <c r="I330" s="110">
        <f>IF(OR(ISBLANK(D330),ISBLANK(E330)),IF(OR(B330="ALI",B330="AIE"),"L",IF(OR(B330="EE",B330="SE",B330="CE"),"A","")),IF(B330="EE",IF(E330&gt;=3,IF(D330&gt;=5,"H","A"),IF(E330&gt;=2,IF(D330&gt;=16,"H",IF(D330&lt;=4,"L","A")),IF(D330&lt;=15,"L","A"))),IF(OR(B330="SE",B330="CE"),IF(E330&gt;=4,IF(D330&gt;=6,"H","A"),IF(E330&gt;=2,IF(D330&gt;=20,"H",IF(D330&lt;=5,"L","A")),IF(D330&lt;=19,"L","A"))),IF(OR(B330="ALI",B330="AIE"),IF(E330&gt;=6,IF(D330&gt;=20,"H","A"),IF(E330&gt;=2,IF(D330&gt;=51,"H",IF(D330&lt;=19,"L","A")),IF(D330&lt;=50,"L","A"))),""))))</f>
        <v/>
      </c>
      <c r="J330" s="7">
        <f>CONCATENATE(B330,C330)</f>
        <v/>
      </c>
      <c r="K330" s="9">
        <f>IF(OR(H330="",H330=0),L330,H330)</f>
        <v/>
      </c>
      <c r="L330" s="9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 t="n"/>
      <c r="N330" s="115" t="n"/>
      <c r="O330" s="6" t="n"/>
    </row>
    <row r="331">
      <c r="A331" s="112" t="n"/>
      <c r="B331" s="4" t="n"/>
      <c r="C331" s="4" t="n"/>
      <c r="D331" s="7" t="n"/>
      <c r="E331" s="7" t="n"/>
      <c r="F331" s="8">
        <f>IF(ISBLANK(B331),"",IF(I331="L","Baixa",IF(I331="A","Média",IF(I331="","","Alta"))))</f>
        <v/>
      </c>
      <c r="G331" s="7">
        <f>CONCATENATE(B331,I331)</f>
        <v/>
      </c>
      <c r="H331" s="5">
        <f>IF(ISBLANK(B331),"",IF(B331="ALI",IF(I331="L",7,IF(I331="A",10,15)),IF(B331="AIE",IF(I331="L",5,IF(I331="A",7,10)),IF(B331="SE",IF(I331="L",4,IF(I331="A",5,7)),IF(OR(B331="EE",B331="CE"),IF(I331="L",3,IF(I331="A",4,6)),0)))))</f>
        <v/>
      </c>
      <c r="I331" s="110">
        <f>IF(OR(ISBLANK(D331),ISBLANK(E331)),IF(OR(B331="ALI",B331="AIE"),"L",IF(OR(B331="EE",B331="SE",B331="CE"),"A","")),IF(B331="EE",IF(E331&gt;=3,IF(D331&gt;=5,"H","A"),IF(E331&gt;=2,IF(D331&gt;=16,"H",IF(D331&lt;=4,"L","A")),IF(D331&lt;=15,"L","A"))),IF(OR(B331="SE",B331="CE"),IF(E331&gt;=4,IF(D331&gt;=6,"H","A"),IF(E331&gt;=2,IF(D331&gt;=20,"H",IF(D331&lt;=5,"L","A")),IF(D331&lt;=19,"L","A"))),IF(OR(B331="ALI",B331="AIE"),IF(E331&gt;=6,IF(D331&gt;=20,"H","A"),IF(E331&gt;=2,IF(D331&gt;=51,"H",IF(D331&lt;=19,"L","A")),IF(D331&lt;=50,"L","A"))),""))))</f>
        <v/>
      </c>
      <c r="J331" s="7">
        <f>CONCATENATE(B331,C331)</f>
        <v/>
      </c>
      <c r="K331" s="9">
        <f>IF(OR(H331="",H331=0),L331,H331)</f>
        <v/>
      </c>
      <c r="L331" s="9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 t="n"/>
      <c r="N331" s="115" t="n"/>
      <c r="O331" s="6" t="n"/>
    </row>
    <row r="332">
      <c r="A332" s="112" t="n"/>
      <c r="B332" s="4" t="n"/>
      <c r="C332" s="4" t="n"/>
      <c r="D332" s="7" t="n"/>
      <c r="E332" s="7" t="n"/>
      <c r="F332" s="8">
        <f>IF(ISBLANK(B332),"",IF(I332="L","Baixa",IF(I332="A","Média",IF(I332="","","Alta"))))</f>
        <v/>
      </c>
      <c r="G332" s="7">
        <f>CONCATENATE(B332,I332)</f>
        <v/>
      </c>
      <c r="H332" s="5">
        <f>IF(ISBLANK(B332),"",IF(B332="ALI",IF(I332="L",7,IF(I332="A",10,15)),IF(B332="AIE",IF(I332="L",5,IF(I332="A",7,10)),IF(B332="SE",IF(I332="L",4,IF(I332="A",5,7)),IF(OR(B332="EE",B332="CE"),IF(I332="L",3,IF(I332="A",4,6)),0)))))</f>
        <v/>
      </c>
      <c r="I332" s="110">
        <f>IF(OR(ISBLANK(D332),ISBLANK(E332)),IF(OR(B332="ALI",B332="AIE"),"L",IF(OR(B332="EE",B332="SE",B332="CE"),"A","")),IF(B332="EE",IF(E332&gt;=3,IF(D332&gt;=5,"H","A"),IF(E332&gt;=2,IF(D332&gt;=16,"H",IF(D332&lt;=4,"L","A")),IF(D332&lt;=15,"L","A"))),IF(OR(B332="SE",B332="CE"),IF(E332&gt;=4,IF(D332&gt;=6,"H","A"),IF(E332&gt;=2,IF(D332&gt;=20,"H",IF(D332&lt;=5,"L","A")),IF(D332&lt;=19,"L","A"))),IF(OR(B332="ALI",B332="AIE"),IF(E332&gt;=6,IF(D332&gt;=20,"H","A"),IF(E332&gt;=2,IF(D332&gt;=51,"H",IF(D332&lt;=19,"L","A")),IF(D332&lt;=50,"L","A"))),""))))</f>
        <v/>
      </c>
      <c r="J332" s="7">
        <f>CONCATENATE(B332,C332)</f>
        <v/>
      </c>
      <c r="K332" s="9">
        <f>IF(OR(H332="",H332=0),L332,H332)</f>
        <v/>
      </c>
      <c r="L332" s="9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 t="n"/>
      <c r="N332" s="115" t="n"/>
      <c r="O332" s="6" t="n"/>
    </row>
    <row r="333">
      <c r="A333" s="112" t="n"/>
      <c r="B333" s="4" t="n"/>
      <c r="C333" s="4" t="n"/>
      <c r="D333" s="7" t="n"/>
      <c r="E333" s="7" t="n"/>
      <c r="F333" s="8">
        <f>IF(ISBLANK(B333),"",IF(I333="L","Baixa",IF(I333="A","Média",IF(I333="","","Alta"))))</f>
        <v/>
      </c>
      <c r="G333" s="7">
        <f>CONCATENATE(B333,I333)</f>
        <v/>
      </c>
      <c r="H333" s="5">
        <f>IF(ISBLANK(B333),"",IF(B333="ALI",IF(I333="L",7,IF(I333="A",10,15)),IF(B333="AIE",IF(I333="L",5,IF(I333="A",7,10)),IF(B333="SE",IF(I333="L",4,IF(I333="A",5,7)),IF(OR(B333="EE",B333="CE"),IF(I333="L",3,IF(I333="A",4,6)),0)))))</f>
        <v/>
      </c>
      <c r="I333" s="110">
        <f>IF(OR(ISBLANK(D333),ISBLANK(E333)),IF(OR(B333="ALI",B333="AIE"),"L",IF(OR(B333="EE",B333="SE",B333="CE"),"A","")),IF(B333="EE",IF(E333&gt;=3,IF(D333&gt;=5,"H","A"),IF(E333&gt;=2,IF(D333&gt;=16,"H",IF(D333&lt;=4,"L","A")),IF(D333&lt;=15,"L","A"))),IF(OR(B333="SE",B333="CE"),IF(E333&gt;=4,IF(D333&gt;=6,"H","A"),IF(E333&gt;=2,IF(D333&gt;=20,"H",IF(D333&lt;=5,"L","A")),IF(D333&lt;=19,"L","A"))),IF(OR(B333="ALI",B333="AIE"),IF(E333&gt;=6,IF(D333&gt;=20,"H","A"),IF(E333&gt;=2,IF(D333&gt;=51,"H",IF(D333&lt;=19,"L","A")),IF(D333&lt;=50,"L","A"))),""))))</f>
        <v/>
      </c>
      <c r="J333" s="7">
        <f>CONCATENATE(B333,C333)</f>
        <v/>
      </c>
      <c r="K333" s="9">
        <f>IF(OR(H333="",H333=0),L333,H333)</f>
        <v/>
      </c>
      <c r="L333" s="9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 t="n"/>
      <c r="N333" s="115" t="n"/>
      <c r="O333" s="6" t="n"/>
    </row>
    <row r="334">
      <c r="A334" s="112" t="n"/>
      <c r="B334" s="4" t="n"/>
      <c r="C334" s="4" t="n"/>
      <c r="D334" s="7" t="n"/>
      <c r="E334" s="7" t="n"/>
      <c r="F334" s="8">
        <f>IF(ISBLANK(B334),"",IF(I334="L","Baixa",IF(I334="A","Média",IF(I334="","","Alta"))))</f>
        <v/>
      </c>
      <c r="G334" s="7">
        <f>CONCATENATE(B334,I334)</f>
        <v/>
      </c>
      <c r="H334" s="5">
        <f>IF(ISBLANK(B334),"",IF(B334="ALI",IF(I334="L",7,IF(I334="A",10,15)),IF(B334="AIE",IF(I334="L",5,IF(I334="A",7,10)),IF(B334="SE",IF(I334="L",4,IF(I334="A",5,7)),IF(OR(B334="EE",B334="CE"),IF(I334="L",3,IF(I334="A",4,6)),0)))))</f>
        <v/>
      </c>
      <c r="I334" s="110">
        <f>IF(OR(ISBLANK(D334),ISBLANK(E334)),IF(OR(B334="ALI",B334="AIE"),"L",IF(OR(B334="EE",B334="SE",B334="CE"),"A","")),IF(B334="EE",IF(E334&gt;=3,IF(D334&gt;=5,"H","A"),IF(E334&gt;=2,IF(D334&gt;=16,"H",IF(D334&lt;=4,"L","A")),IF(D334&lt;=15,"L","A"))),IF(OR(B334="SE",B334="CE"),IF(E334&gt;=4,IF(D334&gt;=6,"H","A"),IF(E334&gt;=2,IF(D334&gt;=20,"H",IF(D334&lt;=5,"L","A")),IF(D334&lt;=19,"L","A"))),IF(OR(B334="ALI",B334="AIE"),IF(E334&gt;=6,IF(D334&gt;=20,"H","A"),IF(E334&gt;=2,IF(D334&gt;=51,"H",IF(D334&lt;=19,"L","A")),IF(D334&lt;=50,"L","A"))),""))))</f>
        <v/>
      </c>
      <c r="J334" s="7">
        <f>CONCATENATE(B334,C334)</f>
        <v/>
      </c>
      <c r="K334" s="9">
        <f>IF(OR(H334="",H334=0),L334,H334)</f>
        <v/>
      </c>
      <c r="L334" s="9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 t="n"/>
      <c r="N334" s="115" t="n"/>
      <c r="O334" s="6" t="n"/>
    </row>
    <row r="335">
      <c r="A335" s="112" t="n"/>
      <c r="B335" s="4" t="n"/>
      <c r="C335" s="4" t="n"/>
      <c r="D335" s="7" t="n"/>
      <c r="E335" s="7" t="n"/>
      <c r="F335" s="8">
        <f>IF(ISBLANK(B335),"",IF(I335="L","Baixa",IF(I335="A","Média",IF(I335="","","Alta"))))</f>
        <v/>
      </c>
      <c r="G335" s="7">
        <f>CONCATENATE(B335,I335)</f>
        <v/>
      </c>
      <c r="H335" s="5">
        <f>IF(ISBLANK(B335),"",IF(B335="ALI",IF(I335="L",7,IF(I335="A",10,15)),IF(B335="AIE",IF(I335="L",5,IF(I335="A",7,10)),IF(B335="SE",IF(I335="L",4,IF(I335="A",5,7)),IF(OR(B335="EE",B335="CE"),IF(I335="L",3,IF(I335="A",4,6)),0)))))</f>
        <v/>
      </c>
      <c r="I335" s="110">
        <f>IF(OR(ISBLANK(D335),ISBLANK(E335)),IF(OR(B335="ALI",B335="AIE"),"L",IF(OR(B335="EE",B335="SE",B335="CE"),"A","")),IF(B335="EE",IF(E335&gt;=3,IF(D335&gt;=5,"H","A"),IF(E335&gt;=2,IF(D335&gt;=16,"H",IF(D335&lt;=4,"L","A")),IF(D335&lt;=15,"L","A"))),IF(OR(B335="SE",B335="CE"),IF(E335&gt;=4,IF(D335&gt;=6,"H","A"),IF(E335&gt;=2,IF(D335&gt;=20,"H",IF(D335&lt;=5,"L","A")),IF(D335&lt;=19,"L","A"))),IF(OR(B335="ALI",B335="AIE"),IF(E335&gt;=6,IF(D335&gt;=20,"H","A"),IF(E335&gt;=2,IF(D335&gt;=51,"H",IF(D335&lt;=19,"L","A")),IF(D335&lt;=50,"L","A"))),""))))</f>
        <v/>
      </c>
      <c r="J335" s="7">
        <f>CONCATENATE(B335,C335)</f>
        <v/>
      </c>
      <c r="K335" s="9">
        <f>IF(OR(H335="",H335=0),L335,H335)</f>
        <v/>
      </c>
      <c r="L335" s="9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 t="n"/>
      <c r="N335" s="115" t="n"/>
      <c r="O335" s="6" t="n"/>
    </row>
    <row r="336">
      <c r="A336" s="112" t="n"/>
      <c r="B336" s="4" t="n"/>
      <c r="C336" s="4" t="n"/>
      <c r="D336" s="7" t="n"/>
      <c r="E336" s="7" t="n"/>
      <c r="F336" s="8">
        <f>IF(ISBLANK(B336),"",IF(I336="L","Baixa",IF(I336="A","Média",IF(I336="","","Alta"))))</f>
        <v/>
      </c>
      <c r="G336" s="7">
        <f>CONCATENATE(B336,I336)</f>
        <v/>
      </c>
      <c r="H336" s="5">
        <f>IF(ISBLANK(B336),"",IF(B336="ALI",IF(I336="L",7,IF(I336="A",10,15)),IF(B336="AIE",IF(I336="L",5,IF(I336="A",7,10)),IF(B336="SE",IF(I336="L",4,IF(I336="A",5,7)),IF(OR(B336="EE",B336="CE"),IF(I336="L",3,IF(I336="A",4,6)),0)))))</f>
        <v/>
      </c>
      <c r="I336" s="110">
        <f>IF(OR(ISBLANK(D336),ISBLANK(E336)),IF(OR(B336="ALI",B336="AIE"),"L",IF(OR(B336="EE",B336="SE",B336="CE"),"A","")),IF(B336="EE",IF(E336&gt;=3,IF(D336&gt;=5,"H","A"),IF(E336&gt;=2,IF(D336&gt;=16,"H",IF(D336&lt;=4,"L","A")),IF(D336&lt;=15,"L","A"))),IF(OR(B336="SE",B336="CE"),IF(E336&gt;=4,IF(D336&gt;=6,"H","A"),IF(E336&gt;=2,IF(D336&gt;=20,"H",IF(D336&lt;=5,"L","A")),IF(D336&lt;=19,"L","A"))),IF(OR(B336="ALI",B336="AIE"),IF(E336&gt;=6,IF(D336&gt;=20,"H","A"),IF(E336&gt;=2,IF(D336&gt;=51,"H",IF(D336&lt;=19,"L","A")),IF(D336&lt;=50,"L","A"))),""))))</f>
        <v/>
      </c>
      <c r="J336" s="7">
        <f>CONCATENATE(B336,C336)</f>
        <v/>
      </c>
      <c r="K336" s="9">
        <f>IF(OR(H336="",H336=0),L336,H336)</f>
        <v/>
      </c>
      <c r="L336" s="9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 t="n"/>
      <c r="N336" s="115" t="n"/>
      <c r="O336" s="6" t="n"/>
    </row>
    <row r="337">
      <c r="A337" s="112" t="n"/>
      <c r="B337" s="4" t="n"/>
      <c r="C337" s="4" t="n"/>
      <c r="D337" s="7" t="n"/>
      <c r="E337" s="7" t="n"/>
      <c r="F337" s="8">
        <f>IF(ISBLANK(B337),"",IF(I337="L","Baixa",IF(I337="A","Média",IF(I337="","","Alta"))))</f>
        <v/>
      </c>
      <c r="G337" s="7">
        <f>CONCATENATE(B337,I337)</f>
        <v/>
      </c>
      <c r="H337" s="5">
        <f>IF(ISBLANK(B337),"",IF(B337="ALI",IF(I337="L",7,IF(I337="A",10,15)),IF(B337="AIE",IF(I337="L",5,IF(I337="A",7,10)),IF(B337="SE",IF(I337="L",4,IF(I337="A",5,7)),IF(OR(B337="EE",B337="CE"),IF(I337="L",3,IF(I337="A",4,6)),0)))))</f>
        <v/>
      </c>
      <c r="I337" s="110">
        <f>IF(OR(ISBLANK(D337),ISBLANK(E337)),IF(OR(B337="ALI",B337="AIE"),"L",IF(OR(B337="EE",B337="SE",B337="CE"),"A","")),IF(B337="EE",IF(E337&gt;=3,IF(D337&gt;=5,"H","A"),IF(E337&gt;=2,IF(D337&gt;=16,"H",IF(D337&lt;=4,"L","A")),IF(D337&lt;=15,"L","A"))),IF(OR(B337="SE",B337="CE"),IF(E337&gt;=4,IF(D337&gt;=6,"H","A"),IF(E337&gt;=2,IF(D337&gt;=20,"H",IF(D337&lt;=5,"L","A")),IF(D337&lt;=19,"L","A"))),IF(OR(B337="ALI",B337="AIE"),IF(E337&gt;=6,IF(D337&gt;=20,"H","A"),IF(E337&gt;=2,IF(D337&gt;=51,"H",IF(D337&lt;=19,"L","A")),IF(D337&lt;=50,"L","A"))),""))))</f>
        <v/>
      </c>
      <c r="J337" s="7">
        <f>CONCATENATE(B337,C337)</f>
        <v/>
      </c>
      <c r="K337" s="9">
        <f>IF(OR(H337="",H337=0),L337,H337)</f>
        <v/>
      </c>
      <c r="L337" s="9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 t="n"/>
      <c r="N337" s="115" t="n"/>
      <c r="O337" s="6" t="n"/>
    </row>
    <row r="338">
      <c r="A338" s="112" t="n"/>
      <c r="B338" s="4" t="n"/>
      <c r="C338" s="4" t="n"/>
      <c r="D338" s="7" t="n"/>
      <c r="E338" s="7" t="n"/>
      <c r="F338" s="8">
        <f>IF(ISBLANK(B338),"",IF(I338="L","Baixa",IF(I338="A","Média",IF(I338="","","Alta"))))</f>
        <v/>
      </c>
      <c r="G338" s="7">
        <f>CONCATENATE(B338,I338)</f>
        <v/>
      </c>
      <c r="H338" s="5">
        <f>IF(ISBLANK(B338),"",IF(B338="ALI",IF(I338="L",7,IF(I338="A",10,15)),IF(B338="AIE",IF(I338="L",5,IF(I338="A",7,10)),IF(B338="SE",IF(I338="L",4,IF(I338="A",5,7)),IF(OR(B338="EE",B338="CE"),IF(I338="L",3,IF(I338="A",4,6)),0)))))</f>
        <v/>
      </c>
      <c r="I338" s="110">
        <f>IF(OR(ISBLANK(D338),ISBLANK(E338)),IF(OR(B338="ALI",B338="AIE"),"L",IF(OR(B338="EE",B338="SE",B338="CE"),"A","")),IF(B338="EE",IF(E338&gt;=3,IF(D338&gt;=5,"H","A"),IF(E338&gt;=2,IF(D338&gt;=16,"H",IF(D338&lt;=4,"L","A")),IF(D338&lt;=15,"L","A"))),IF(OR(B338="SE",B338="CE"),IF(E338&gt;=4,IF(D338&gt;=6,"H","A"),IF(E338&gt;=2,IF(D338&gt;=20,"H",IF(D338&lt;=5,"L","A")),IF(D338&lt;=19,"L","A"))),IF(OR(B338="ALI",B338="AIE"),IF(E338&gt;=6,IF(D338&gt;=20,"H","A"),IF(E338&gt;=2,IF(D338&gt;=51,"H",IF(D338&lt;=19,"L","A")),IF(D338&lt;=50,"L","A"))),""))))</f>
        <v/>
      </c>
      <c r="J338" s="7">
        <f>CONCATENATE(B338,C338)</f>
        <v/>
      </c>
      <c r="K338" s="9">
        <f>IF(OR(H338="",H338=0),L338,H338)</f>
        <v/>
      </c>
      <c r="L338" s="9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 t="n"/>
      <c r="N338" s="115" t="n"/>
      <c r="O338" s="6" t="n"/>
    </row>
    <row r="339">
      <c r="A339" s="112" t="n"/>
      <c r="B339" s="4" t="n"/>
      <c r="C339" s="4" t="n"/>
      <c r="D339" s="7" t="n"/>
      <c r="E339" s="7" t="n"/>
      <c r="F339" s="8">
        <f>IF(ISBLANK(B339),"",IF(I339="L","Baixa",IF(I339="A","Média",IF(I339="","","Alta"))))</f>
        <v/>
      </c>
      <c r="G339" s="7">
        <f>CONCATENATE(B339,I339)</f>
        <v/>
      </c>
      <c r="H339" s="5">
        <f>IF(ISBLANK(B339),"",IF(B339="ALI",IF(I339="L",7,IF(I339="A",10,15)),IF(B339="AIE",IF(I339="L",5,IF(I339="A",7,10)),IF(B339="SE",IF(I339="L",4,IF(I339="A",5,7)),IF(OR(B339="EE",B339="CE"),IF(I339="L",3,IF(I339="A",4,6)),0)))))</f>
        <v/>
      </c>
      <c r="I339" s="110">
        <f>IF(OR(ISBLANK(D339),ISBLANK(E339)),IF(OR(B339="ALI",B339="AIE"),"L",IF(OR(B339="EE",B339="SE",B339="CE"),"A","")),IF(B339="EE",IF(E339&gt;=3,IF(D339&gt;=5,"H","A"),IF(E339&gt;=2,IF(D339&gt;=16,"H",IF(D339&lt;=4,"L","A")),IF(D339&lt;=15,"L","A"))),IF(OR(B339="SE",B339="CE"),IF(E339&gt;=4,IF(D339&gt;=6,"H","A"),IF(E339&gt;=2,IF(D339&gt;=20,"H",IF(D339&lt;=5,"L","A")),IF(D339&lt;=19,"L","A"))),IF(OR(B339="ALI",B339="AIE"),IF(E339&gt;=6,IF(D339&gt;=20,"H","A"),IF(E339&gt;=2,IF(D339&gt;=51,"H",IF(D339&lt;=19,"L","A")),IF(D339&lt;=50,"L","A"))),""))))</f>
        <v/>
      </c>
      <c r="J339" s="7">
        <f>CONCATENATE(B339,C339)</f>
        <v/>
      </c>
      <c r="K339" s="9">
        <f>IF(OR(H339="",H339=0),L339,H339)</f>
        <v/>
      </c>
      <c r="L339" s="9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 t="n"/>
      <c r="N339" s="115" t="n"/>
      <c r="O339" s="6" t="n"/>
    </row>
    <row r="340">
      <c r="A340" s="112" t="n"/>
      <c r="B340" s="4" t="n"/>
      <c r="C340" s="4" t="n"/>
      <c r="D340" s="7" t="n"/>
      <c r="E340" s="7" t="n"/>
      <c r="F340" s="8">
        <f>IF(ISBLANK(B340),"",IF(I340="L","Baixa",IF(I340="A","Média",IF(I340="","","Alta"))))</f>
        <v/>
      </c>
      <c r="G340" s="7">
        <f>CONCATENATE(B340,I340)</f>
        <v/>
      </c>
      <c r="H340" s="5">
        <f>IF(ISBLANK(B340),"",IF(B340="ALI",IF(I340="L",7,IF(I340="A",10,15)),IF(B340="AIE",IF(I340="L",5,IF(I340="A",7,10)),IF(B340="SE",IF(I340="L",4,IF(I340="A",5,7)),IF(OR(B340="EE",B340="CE"),IF(I340="L",3,IF(I340="A",4,6)),0)))))</f>
        <v/>
      </c>
      <c r="I340" s="110">
        <f>IF(OR(ISBLANK(D340),ISBLANK(E340)),IF(OR(B340="ALI",B340="AIE"),"L",IF(OR(B340="EE",B340="SE",B340="CE"),"A","")),IF(B340="EE",IF(E340&gt;=3,IF(D340&gt;=5,"H","A"),IF(E340&gt;=2,IF(D340&gt;=16,"H",IF(D340&lt;=4,"L","A")),IF(D340&lt;=15,"L","A"))),IF(OR(B340="SE",B340="CE"),IF(E340&gt;=4,IF(D340&gt;=6,"H","A"),IF(E340&gt;=2,IF(D340&gt;=20,"H",IF(D340&lt;=5,"L","A")),IF(D340&lt;=19,"L","A"))),IF(OR(B340="ALI",B340="AIE"),IF(E340&gt;=6,IF(D340&gt;=20,"H","A"),IF(E340&gt;=2,IF(D340&gt;=51,"H",IF(D340&lt;=19,"L","A")),IF(D340&lt;=50,"L","A"))),""))))</f>
        <v/>
      </c>
      <c r="J340" s="7">
        <f>CONCATENATE(B340,C340)</f>
        <v/>
      </c>
      <c r="K340" s="9">
        <f>IF(OR(H340="",H340=0),L340,H340)</f>
        <v/>
      </c>
      <c r="L340" s="9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 t="n"/>
      <c r="N340" s="115" t="n"/>
      <c r="O340" s="6" t="n"/>
    </row>
    <row r="341">
      <c r="A341" s="112" t="n"/>
      <c r="B341" s="4" t="n"/>
      <c r="C341" s="4" t="n"/>
      <c r="D341" s="7" t="n"/>
      <c r="E341" s="7" t="n"/>
      <c r="F341" s="8">
        <f>IF(ISBLANK(B341),"",IF(I341="L","Baixa",IF(I341="A","Média",IF(I341="","","Alta"))))</f>
        <v/>
      </c>
      <c r="G341" s="7">
        <f>CONCATENATE(B341,I341)</f>
        <v/>
      </c>
      <c r="H341" s="5">
        <f>IF(ISBLANK(B341),"",IF(B341="ALI",IF(I341="L",7,IF(I341="A",10,15)),IF(B341="AIE",IF(I341="L",5,IF(I341="A",7,10)),IF(B341="SE",IF(I341="L",4,IF(I341="A",5,7)),IF(OR(B341="EE",B341="CE"),IF(I341="L",3,IF(I341="A",4,6)),0)))))</f>
        <v/>
      </c>
      <c r="I341" s="110">
        <f>IF(OR(ISBLANK(D341),ISBLANK(E341)),IF(OR(B341="ALI",B341="AIE"),"L",IF(OR(B341="EE",B341="SE",B341="CE"),"A","")),IF(B341="EE",IF(E341&gt;=3,IF(D341&gt;=5,"H","A"),IF(E341&gt;=2,IF(D341&gt;=16,"H",IF(D341&lt;=4,"L","A")),IF(D341&lt;=15,"L","A"))),IF(OR(B341="SE",B341="CE"),IF(E341&gt;=4,IF(D341&gt;=6,"H","A"),IF(E341&gt;=2,IF(D341&gt;=20,"H",IF(D341&lt;=5,"L","A")),IF(D341&lt;=19,"L","A"))),IF(OR(B341="ALI",B341="AIE"),IF(E341&gt;=6,IF(D341&gt;=20,"H","A"),IF(E341&gt;=2,IF(D341&gt;=51,"H",IF(D341&lt;=19,"L","A")),IF(D341&lt;=50,"L","A"))),""))))</f>
        <v/>
      </c>
      <c r="J341" s="7">
        <f>CONCATENATE(B341,C341)</f>
        <v/>
      </c>
      <c r="K341" s="9">
        <f>IF(OR(H341="",H341=0),L341,H341)</f>
        <v/>
      </c>
      <c r="L341" s="9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 t="n"/>
      <c r="N341" s="115" t="n"/>
      <c r="O341" s="6" t="n"/>
    </row>
    <row r="342">
      <c r="A342" s="112" t="n"/>
      <c r="B342" s="4" t="n"/>
      <c r="C342" s="4" t="n"/>
      <c r="D342" s="7" t="n"/>
      <c r="E342" s="7" t="n"/>
      <c r="F342" s="8">
        <f>IF(ISBLANK(B342),"",IF(I342="L","Baixa",IF(I342="A","Média",IF(I342="","","Alta"))))</f>
        <v/>
      </c>
      <c r="G342" s="7">
        <f>CONCATENATE(B342,I342)</f>
        <v/>
      </c>
      <c r="H342" s="5">
        <f>IF(ISBLANK(B342),"",IF(B342="ALI",IF(I342="L",7,IF(I342="A",10,15)),IF(B342="AIE",IF(I342="L",5,IF(I342="A",7,10)),IF(B342="SE",IF(I342="L",4,IF(I342="A",5,7)),IF(OR(B342="EE",B342="CE"),IF(I342="L",3,IF(I342="A",4,6)),0)))))</f>
        <v/>
      </c>
      <c r="I342" s="110">
        <f>IF(OR(ISBLANK(D342),ISBLANK(E342)),IF(OR(B342="ALI",B342="AIE"),"L",IF(OR(B342="EE",B342="SE",B342="CE"),"A","")),IF(B342="EE",IF(E342&gt;=3,IF(D342&gt;=5,"H","A"),IF(E342&gt;=2,IF(D342&gt;=16,"H",IF(D342&lt;=4,"L","A")),IF(D342&lt;=15,"L","A"))),IF(OR(B342="SE",B342="CE"),IF(E342&gt;=4,IF(D342&gt;=6,"H","A"),IF(E342&gt;=2,IF(D342&gt;=20,"H",IF(D342&lt;=5,"L","A")),IF(D342&lt;=19,"L","A"))),IF(OR(B342="ALI",B342="AIE"),IF(E342&gt;=6,IF(D342&gt;=20,"H","A"),IF(E342&gt;=2,IF(D342&gt;=51,"H",IF(D342&lt;=19,"L","A")),IF(D342&lt;=50,"L","A"))),""))))</f>
        <v/>
      </c>
      <c r="J342" s="7">
        <f>CONCATENATE(B342,C342)</f>
        <v/>
      </c>
      <c r="K342" s="9">
        <f>IF(OR(H342="",H342=0),L342,H342)</f>
        <v/>
      </c>
      <c r="L342" s="9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 t="n"/>
      <c r="N342" s="115" t="n"/>
      <c r="O342" s="6" t="n"/>
    </row>
    <row r="343">
      <c r="A343" s="112" t="n"/>
      <c r="B343" s="4" t="n"/>
      <c r="C343" s="4" t="n"/>
      <c r="D343" s="7" t="n"/>
      <c r="E343" s="7" t="n"/>
      <c r="F343" s="8">
        <f>IF(ISBLANK(B343),"",IF(I343="L","Baixa",IF(I343="A","Média",IF(I343="","","Alta"))))</f>
        <v/>
      </c>
      <c r="G343" s="7">
        <f>CONCATENATE(B343,I343)</f>
        <v/>
      </c>
      <c r="H343" s="5">
        <f>IF(ISBLANK(B343),"",IF(B343="ALI",IF(I343="L",7,IF(I343="A",10,15)),IF(B343="AIE",IF(I343="L",5,IF(I343="A",7,10)),IF(B343="SE",IF(I343="L",4,IF(I343="A",5,7)),IF(OR(B343="EE",B343="CE"),IF(I343="L",3,IF(I343="A",4,6)),0)))))</f>
        <v/>
      </c>
      <c r="I343" s="110">
        <f>IF(OR(ISBLANK(D343),ISBLANK(E343)),IF(OR(B343="ALI",B343="AIE"),"L",IF(OR(B343="EE",B343="SE",B343="CE"),"A","")),IF(B343="EE",IF(E343&gt;=3,IF(D343&gt;=5,"H","A"),IF(E343&gt;=2,IF(D343&gt;=16,"H",IF(D343&lt;=4,"L","A")),IF(D343&lt;=15,"L","A"))),IF(OR(B343="SE",B343="CE"),IF(E343&gt;=4,IF(D343&gt;=6,"H","A"),IF(E343&gt;=2,IF(D343&gt;=20,"H",IF(D343&lt;=5,"L","A")),IF(D343&lt;=19,"L","A"))),IF(OR(B343="ALI",B343="AIE"),IF(E343&gt;=6,IF(D343&gt;=20,"H","A"),IF(E343&gt;=2,IF(D343&gt;=51,"H",IF(D343&lt;=19,"L","A")),IF(D343&lt;=50,"L","A"))),""))))</f>
        <v/>
      </c>
      <c r="J343" s="7">
        <f>CONCATENATE(B343,C343)</f>
        <v/>
      </c>
      <c r="K343" s="9">
        <f>IF(OR(H343="",H343=0),L343,H343)</f>
        <v/>
      </c>
      <c r="L343" s="9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 t="n"/>
      <c r="N343" s="115" t="n"/>
      <c r="O343" s="6" t="n"/>
    </row>
    <row r="344">
      <c r="A344" s="112" t="n"/>
      <c r="B344" s="4" t="n"/>
      <c r="C344" s="4" t="n"/>
      <c r="D344" s="7" t="n"/>
      <c r="E344" s="7" t="n"/>
      <c r="F344" s="8">
        <f>IF(ISBLANK(B344),"",IF(I344="L","Baixa",IF(I344="A","Média",IF(I344="","","Alta"))))</f>
        <v/>
      </c>
      <c r="G344" s="7">
        <f>CONCATENATE(B344,I344)</f>
        <v/>
      </c>
      <c r="H344" s="5">
        <f>IF(ISBLANK(B344),"",IF(B344="ALI",IF(I344="L",7,IF(I344="A",10,15)),IF(B344="AIE",IF(I344="L",5,IF(I344="A",7,10)),IF(B344="SE",IF(I344="L",4,IF(I344="A",5,7)),IF(OR(B344="EE",B344="CE"),IF(I344="L",3,IF(I344="A",4,6)),0)))))</f>
        <v/>
      </c>
      <c r="I344" s="110">
        <f>IF(OR(ISBLANK(D344),ISBLANK(E344)),IF(OR(B344="ALI",B344="AIE"),"L",IF(OR(B344="EE",B344="SE",B344="CE"),"A","")),IF(B344="EE",IF(E344&gt;=3,IF(D344&gt;=5,"H","A"),IF(E344&gt;=2,IF(D344&gt;=16,"H",IF(D344&lt;=4,"L","A")),IF(D344&lt;=15,"L","A"))),IF(OR(B344="SE",B344="CE"),IF(E344&gt;=4,IF(D344&gt;=6,"H","A"),IF(E344&gt;=2,IF(D344&gt;=20,"H",IF(D344&lt;=5,"L","A")),IF(D344&lt;=19,"L","A"))),IF(OR(B344="ALI",B344="AIE"),IF(E344&gt;=6,IF(D344&gt;=20,"H","A"),IF(E344&gt;=2,IF(D344&gt;=51,"H",IF(D344&lt;=19,"L","A")),IF(D344&lt;=50,"L","A"))),""))))</f>
        <v/>
      </c>
      <c r="J344" s="7">
        <f>CONCATENATE(B344,C344)</f>
        <v/>
      </c>
      <c r="K344" s="9">
        <f>IF(OR(H344="",H344=0),L344,H344)</f>
        <v/>
      </c>
      <c r="L344" s="9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 t="n"/>
      <c r="N344" s="115" t="n"/>
      <c r="O344" s="6" t="n"/>
    </row>
    <row r="345">
      <c r="A345" s="112" t="n"/>
      <c r="B345" s="4" t="n"/>
      <c r="C345" s="4" t="n"/>
      <c r="D345" s="7" t="n"/>
      <c r="E345" s="7" t="n"/>
      <c r="F345" s="8">
        <f>IF(ISBLANK(B345),"",IF(I345="L","Baixa",IF(I345="A","Média",IF(I345="","","Alta"))))</f>
        <v/>
      </c>
      <c r="G345" s="7">
        <f>CONCATENATE(B345,I345)</f>
        <v/>
      </c>
      <c r="H345" s="5">
        <f>IF(ISBLANK(B345),"",IF(B345="ALI",IF(I345="L",7,IF(I345="A",10,15)),IF(B345="AIE",IF(I345="L",5,IF(I345="A",7,10)),IF(B345="SE",IF(I345="L",4,IF(I345="A",5,7)),IF(OR(B345="EE",B345="CE"),IF(I345="L",3,IF(I345="A",4,6)),0)))))</f>
        <v/>
      </c>
      <c r="I345" s="110">
        <f>IF(OR(ISBLANK(D345),ISBLANK(E345)),IF(OR(B345="ALI",B345="AIE"),"L",IF(OR(B345="EE",B345="SE",B345="CE"),"A","")),IF(B345="EE",IF(E345&gt;=3,IF(D345&gt;=5,"H","A"),IF(E345&gt;=2,IF(D345&gt;=16,"H",IF(D345&lt;=4,"L","A")),IF(D345&lt;=15,"L","A"))),IF(OR(B345="SE",B345="CE"),IF(E345&gt;=4,IF(D345&gt;=6,"H","A"),IF(E345&gt;=2,IF(D345&gt;=20,"H",IF(D345&lt;=5,"L","A")),IF(D345&lt;=19,"L","A"))),IF(OR(B345="ALI",B345="AIE"),IF(E345&gt;=6,IF(D345&gt;=20,"H","A"),IF(E345&gt;=2,IF(D345&gt;=51,"H",IF(D345&lt;=19,"L","A")),IF(D345&lt;=50,"L","A"))),""))))</f>
        <v/>
      </c>
      <c r="J345" s="7">
        <f>CONCATENATE(B345,C345)</f>
        <v/>
      </c>
      <c r="K345" s="9">
        <f>IF(OR(H345="",H345=0),L345,H345)</f>
        <v/>
      </c>
      <c r="L345" s="9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 t="n"/>
      <c r="N345" s="115" t="n"/>
      <c r="O345" s="6" t="n"/>
    </row>
    <row r="346">
      <c r="A346" s="112" t="n"/>
      <c r="B346" s="4" t="n"/>
      <c r="C346" s="4" t="n"/>
      <c r="D346" s="7" t="n"/>
      <c r="E346" s="7" t="n"/>
      <c r="F346" s="8">
        <f>IF(ISBLANK(B346),"",IF(I346="L","Baixa",IF(I346="A","Média",IF(I346="","","Alta"))))</f>
        <v/>
      </c>
      <c r="G346" s="7">
        <f>CONCATENATE(B346,I346)</f>
        <v/>
      </c>
      <c r="H346" s="5">
        <f>IF(ISBLANK(B346),"",IF(B346="ALI",IF(I346="L",7,IF(I346="A",10,15)),IF(B346="AIE",IF(I346="L",5,IF(I346="A",7,10)),IF(B346="SE",IF(I346="L",4,IF(I346="A",5,7)),IF(OR(B346="EE",B346="CE"),IF(I346="L",3,IF(I346="A",4,6)),0)))))</f>
        <v/>
      </c>
      <c r="I346" s="110">
        <f>IF(OR(ISBLANK(D346),ISBLANK(E346)),IF(OR(B346="ALI",B346="AIE"),"L",IF(OR(B346="EE",B346="SE",B346="CE"),"A","")),IF(B346="EE",IF(E346&gt;=3,IF(D346&gt;=5,"H","A"),IF(E346&gt;=2,IF(D346&gt;=16,"H",IF(D346&lt;=4,"L","A")),IF(D346&lt;=15,"L","A"))),IF(OR(B346="SE",B346="CE"),IF(E346&gt;=4,IF(D346&gt;=6,"H","A"),IF(E346&gt;=2,IF(D346&gt;=20,"H",IF(D346&lt;=5,"L","A")),IF(D346&lt;=19,"L","A"))),IF(OR(B346="ALI",B346="AIE"),IF(E346&gt;=6,IF(D346&gt;=20,"H","A"),IF(E346&gt;=2,IF(D346&gt;=51,"H",IF(D346&lt;=19,"L","A")),IF(D346&lt;=50,"L","A"))),""))))</f>
        <v/>
      </c>
      <c r="J346" s="7">
        <f>CONCATENATE(B346,C346)</f>
        <v/>
      </c>
      <c r="K346" s="9">
        <f>IF(OR(H346="",H346=0),L346,H346)</f>
        <v/>
      </c>
      <c r="L346" s="9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 t="n"/>
      <c r="N346" s="115" t="n"/>
      <c r="O346" s="6" t="n"/>
    </row>
    <row r="347">
      <c r="A347" s="112" t="n"/>
      <c r="B347" s="4" t="n"/>
      <c r="C347" s="4" t="n"/>
      <c r="D347" s="7" t="n"/>
      <c r="E347" s="7" t="n"/>
      <c r="F347" s="8">
        <f>IF(ISBLANK(B347),"",IF(I347="L","Baixa",IF(I347="A","Média",IF(I347="","","Alta"))))</f>
        <v/>
      </c>
      <c r="G347" s="7">
        <f>CONCATENATE(B347,I347)</f>
        <v/>
      </c>
      <c r="H347" s="5">
        <f>IF(ISBLANK(B347),"",IF(B347="ALI",IF(I347="L",7,IF(I347="A",10,15)),IF(B347="AIE",IF(I347="L",5,IF(I347="A",7,10)),IF(B347="SE",IF(I347="L",4,IF(I347="A",5,7)),IF(OR(B347="EE",B347="CE"),IF(I347="L",3,IF(I347="A",4,6)),0)))))</f>
        <v/>
      </c>
      <c r="I347" s="110">
        <f>IF(OR(ISBLANK(D347),ISBLANK(E347)),IF(OR(B347="ALI",B347="AIE"),"L",IF(OR(B347="EE",B347="SE",B347="CE"),"A","")),IF(B347="EE",IF(E347&gt;=3,IF(D347&gt;=5,"H","A"),IF(E347&gt;=2,IF(D347&gt;=16,"H",IF(D347&lt;=4,"L","A")),IF(D347&lt;=15,"L","A"))),IF(OR(B347="SE",B347="CE"),IF(E347&gt;=4,IF(D347&gt;=6,"H","A"),IF(E347&gt;=2,IF(D347&gt;=20,"H",IF(D347&lt;=5,"L","A")),IF(D347&lt;=19,"L","A"))),IF(OR(B347="ALI",B347="AIE"),IF(E347&gt;=6,IF(D347&gt;=20,"H","A"),IF(E347&gt;=2,IF(D347&gt;=51,"H",IF(D347&lt;=19,"L","A")),IF(D347&lt;=50,"L","A"))),""))))</f>
        <v/>
      </c>
      <c r="J347" s="7">
        <f>CONCATENATE(B347,C347)</f>
        <v/>
      </c>
      <c r="K347" s="9">
        <f>IF(OR(H347="",H347=0),L347,H347)</f>
        <v/>
      </c>
      <c r="L347" s="9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 t="n"/>
      <c r="N347" s="115" t="n"/>
      <c r="O347" s="6" t="n"/>
    </row>
    <row r="348">
      <c r="A348" s="112" t="n"/>
      <c r="B348" s="4" t="n"/>
      <c r="C348" s="4" t="n"/>
      <c r="D348" s="7" t="n"/>
      <c r="E348" s="7" t="n"/>
      <c r="F348" s="8">
        <f>IF(ISBLANK(B348),"",IF(I348="L","Baixa",IF(I348="A","Média",IF(I348="","","Alta"))))</f>
        <v/>
      </c>
      <c r="G348" s="7">
        <f>CONCATENATE(B348,I348)</f>
        <v/>
      </c>
      <c r="H348" s="5">
        <f>IF(ISBLANK(B348),"",IF(B348="ALI",IF(I348="L",7,IF(I348="A",10,15)),IF(B348="AIE",IF(I348="L",5,IF(I348="A",7,10)),IF(B348="SE",IF(I348="L",4,IF(I348="A",5,7)),IF(OR(B348="EE",B348="CE"),IF(I348="L",3,IF(I348="A",4,6)),0)))))</f>
        <v/>
      </c>
      <c r="I348" s="110">
        <f>IF(OR(ISBLANK(D348),ISBLANK(E348)),IF(OR(B348="ALI",B348="AIE"),"L",IF(OR(B348="EE",B348="SE",B348="CE"),"A","")),IF(B348="EE",IF(E348&gt;=3,IF(D348&gt;=5,"H","A"),IF(E348&gt;=2,IF(D348&gt;=16,"H",IF(D348&lt;=4,"L","A")),IF(D348&lt;=15,"L","A"))),IF(OR(B348="SE",B348="CE"),IF(E348&gt;=4,IF(D348&gt;=6,"H","A"),IF(E348&gt;=2,IF(D348&gt;=20,"H",IF(D348&lt;=5,"L","A")),IF(D348&lt;=19,"L","A"))),IF(OR(B348="ALI",B348="AIE"),IF(E348&gt;=6,IF(D348&gt;=20,"H","A"),IF(E348&gt;=2,IF(D348&gt;=51,"H",IF(D348&lt;=19,"L","A")),IF(D348&lt;=50,"L","A"))),""))))</f>
        <v/>
      </c>
      <c r="J348" s="7">
        <f>CONCATENATE(B348,C348)</f>
        <v/>
      </c>
      <c r="K348" s="9">
        <f>IF(OR(H348="",H348=0),L348,H348)</f>
        <v/>
      </c>
      <c r="L348" s="9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 t="n"/>
      <c r="N348" s="115" t="n"/>
      <c r="O348" s="6" t="n"/>
    </row>
    <row r="349">
      <c r="A349" s="112" t="n"/>
      <c r="B349" s="4" t="n"/>
      <c r="C349" s="4" t="n"/>
      <c r="D349" s="7" t="n"/>
      <c r="E349" s="7" t="n"/>
      <c r="F349" s="8">
        <f>IF(ISBLANK(B349),"",IF(I349="L","Baixa",IF(I349="A","Média",IF(I349="","","Alta"))))</f>
        <v/>
      </c>
      <c r="G349" s="7">
        <f>CONCATENATE(B349,I349)</f>
        <v/>
      </c>
      <c r="H349" s="5">
        <f>IF(ISBLANK(B349),"",IF(B349="ALI",IF(I349="L",7,IF(I349="A",10,15)),IF(B349="AIE",IF(I349="L",5,IF(I349="A",7,10)),IF(B349="SE",IF(I349="L",4,IF(I349="A",5,7)),IF(OR(B349="EE",B349="CE"),IF(I349="L",3,IF(I349="A",4,6)),0)))))</f>
        <v/>
      </c>
      <c r="I349" s="110">
        <f>IF(OR(ISBLANK(D349),ISBLANK(E349)),IF(OR(B349="ALI",B349="AIE"),"L",IF(OR(B349="EE",B349="SE",B349="CE"),"A","")),IF(B349="EE",IF(E349&gt;=3,IF(D349&gt;=5,"H","A"),IF(E349&gt;=2,IF(D349&gt;=16,"H",IF(D349&lt;=4,"L","A")),IF(D349&lt;=15,"L","A"))),IF(OR(B349="SE",B349="CE"),IF(E349&gt;=4,IF(D349&gt;=6,"H","A"),IF(E349&gt;=2,IF(D349&gt;=20,"H",IF(D349&lt;=5,"L","A")),IF(D349&lt;=19,"L","A"))),IF(OR(B349="ALI",B349="AIE"),IF(E349&gt;=6,IF(D349&gt;=20,"H","A"),IF(E349&gt;=2,IF(D349&gt;=51,"H",IF(D349&lt;=19,"L","A")),IF(D349&lt;=50,"L","A"))),""))))</f>
        <v/>
      </c>
      <c r="J349" s="7">
        <f>CONCATENATE(B349,C349)</f>
        <v/>
      </c>
      <c r="K349" s="9">
        <f>IF(OR(H349="",H349=0),L349,H349)</f>
        <v/>
      </c>
      <c r="L349" s="9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 t="n"/>
      <c r="N349" s="115" t="n"/>
      <c r="O349" s="6" t="n"/>
    </row>
    <row r="350">
      <c r="A350" s="112" t="n"/>
      <c r="B350" s="4" t="n"/>
      <c r="C350" s="4" t="n"/>
      <c r="D350" s="7" t="n"/>
      <c r="E350" s="7" t="n"/>
      <c r="F350" s="8">
        <f>IF(ISBLANK(B350),"",IF(I350="L","Baixa",IF(I350="A","Média",IF(I350="","","Alta"))))</f>
        <v/>
      </c>
      <c r="G350" s="7">
        <f>CONCATENATE(B350,I350)</f>
        <v/>
      </c>
      <c r="H350" s="5">
        <f>IF(ISBLANK(B350),"",IF(B350="ALI",IF(I350="L",7,IF(I350="A",10,15)),IF(B350="AIE",IF(I350="L",5,IF(I350="A",7,10)),IF(B350="SE",IF(I350="L",4,IF(I350="A",5,7)),IF(OR(B350="EE",B350="CE"),IF(I350="L",3,IF(I350="A",4,6)),0)))))</f>
        <v/>
      </c>
      <c r="I350" s="110">
        <f>IF(OR(ISBLANK(D350),ISBLANK(E350)),IF(OR(B350="ALI",B350="AIE"),"L",IF(OR(B350="EE",B350="SE",B350="CE"),"A","")),IF(B350="EE",IF(E350&gt;=3,IF(D350&gt;=5,"H","A"),IF(E350&gt;=2,IF(D350&gt;=16,"H",IF(D350&lt;=4,"L","A")),IF(D350&lt;=15,"L","A"))),IF(OR(B350="SE",B350="CE"),IF(E350&gt;=4,IF(D350&gt;=6,"H","A"),IF(E350&gt;=2,IF(D350&gt;=20,"H",IF(D350&lt;=5,"L","A")),IF(D350&lt;=19,"L","A"))),IF(OR(B350="ALI",B350="AIE"),IF(E350&gt;=6,IF(D350&gt;=20,"H","A"),IF(E350&gt;=2,IF(D350&gt;=51,"H",IF(D350&lt;=19,"L","A")),IF(D350&lt;=50,"L","A"))),""))))</f>
        <v/>
      </c>
      <c r="J350" s="7">
        <f>CONCATENATE(B350,C350)</f>
        <v/>
      </c>
      <c r="K350" s="9">
        <f>IF(OR(H350="",H350=0),L350,H350)</f>
        <v/>
      </c>
      <c r="L350" s="9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 t="n"/>
      <c r="N350" s="115" t="n"/>
      <c r="O350" s="6" t="n"/>
    </row>
    <row r="351">
      <c r="A351" s="112" t="n"/>
      <c r="B351" s="4" t="n"/>
      <c r="C351" s="4" t="n"/>
      <c r="D351" s="7" t="n"/>
      <c r="E351" s="7" t="n"/>
      <c r="F351" s="8">
        <f>IF(ISBLANK(B351),"",IF(I351="L","Baixa",IF(I351="A","Média",IF(I351="","","Alta"))))</f>
        <v/>
      </c>
      <c r="G351" s="7">
        <f>CONCATENATE(B351,I351)</f>
        <v/>
      </c>
      <c r="H351" s="5">
        <f>IF(ISBLANK(B351),"",IF(B351="ALI",IF(I351="L",7,IF(I351="A",10,15)),IF(B351="AIE",IF(I351="L",5,IF(I351="A",7,10)),IF(B351="SE",IF(I351="L",4,IF(I351="A",5,7)),IF(OR(B351="EE",B351="CE"),IF(I351="L",3,IF(I351="A",4,6)),0)))))</f>
        <v/>
      </c>
      <c r="I351" s="110">
        <f>IF(OR(ISBLANK(D351),ISBLANK(E351)),IF(OR(B351="ALI",B351="AIE"),"L",IF(OR(B351="EE",B351="SE",B351="CE"),"A","")),IF(B351="EE",IF(E351&gt;=3,IF(D351&gt;=5,"H","A"),IF(E351&gt;=2,IF(D351&gt;=16,"H",IF(D351&lt;=4,"L","A")),IF(D351&lt;=15,"L","A"))),IF(OR(B351="SE",B351="CE"),IF(E351&gt;=4,IF(D351&gt;=6,"H","A"),IF(E351&gt;=2,IF(D351&gt;=20,"H",IF(D351&lt;=5,"L","A")),IF(D351&lt;=19,"L","A"))),IF(OR(B351="ALI",B351="AIE"),IF(E351&gt;=6,IF(D351&gt;=20,"H","A"),IF(E351&gt;=2,IF(D351&gt;=51,"H",IF(D351&lt;=19,"L","A")),IF(D351&lt;=50,"L","A"))),""))))</f>
        <v/>
      </c>
      <c r="J351" s="7">
        <f>CONCATENATE(B351,C351)</f>
        <v/>
      </c>
      <c r="K351" s="9">
        <f>IF(OR(H351="",H351=0),L351,H351)</f>
        <v/>
      </c>
      <c r="L351" s="9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 t="n"/>
      <c r="N351" s="115" t="n"/>
      <c r="O351" s="6" t="n"/>
    </row>
    <row r="352">
      <c r="A352" s="112" t="n"/>
      <c r="B352" s="4" t="n"/>
      <c r="C352" s="4" t="n"/>
      <c r="D352" s="7" t="n"/>
      <c r="E352" s="7" t="n"/>
      <c r="F352" s="8">
        <f>IF(ISBLANK(B352),"",IF(I352="L","Baixa",IF(I352="A","Média",IF(I352="","","Alta"))))</f>
        <v/>
      </c>
      <c r="G352" s="7">
        <f>CONCATENATE(B352,I352)</f>
        <v/>
      </c>
      <c r="H352" s="5">
        <f>IF(ISBLANK(B352),"",IF(B352="ALI",IF(I352="L",7,IF(I352="A",10,15)),IF(B352="AIE",IF(I352="L",5,IF(I352="A",7,10)),IF(B352="SE",IF(I352="L",4,IF(I352="A",5,7)),IF(OR(B352="EE",B352="CE"),IF(I352="L",3,IF(I352="A",4,6)),0)))))</f>
        <v/>
      </c>
      <c r="I352" s="110">
        <f>IF(OR(ISBLANK(D352),ISBLANK(E352)),IF(OR(B352="ALI",B352="AIE"),"L",IF(OR(B352="EE",B352="SE",B352="CE"),"A","")),IF(B352="EE",IF(E352&gt;=3,IF(D352&gt;=5,"H","A"),IF(E352&gt;=2,IF(D352&gt;=16,"H",IF(D352&lt;=4,"L","A")),IF(D352&lt;=15,"L","A"))),IF(OR(B352="SE",B352="CE"),IF(E352&gt;=4,IF(D352&gt;=6,"H","A"),IF(E352&gt;=2,IF(D352&gt;=20,"H",IF(D352&lt;=5,"L","A")),IF(D352&lt;=19,"L","A"))),IF(OR(B352="ALI",B352="AIE"),IF(E352&gt;=6,IF(D352&gt;=20,"H","A"),IF(E352&gt;=2,IF(D352&gt;=51,"H",IF(D352&lt;=19,"L","A")),IF(D352&lt;=50,"L","A"))),""))))</f>
        <v/>
      </c>
      <c r="J352" s="7">
        <f>CONCATENATE(B352,C352)</f>
        <v/>
      </c>
      <c r="K352" s="9">
        <f>IF(OR(H352="",H352=0),L352,H352)</f>
        <v/>
      </c>
      <c r="L352" s="9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 t="n"/>
      <c r="N352" s="115" t="n"/>
      <c r="O352" s="6" t="n"/>
    </row>
    <row r="353">
      <c r="A353" s="112" t="n"/>
      <c r="B353" s="4" t="n"/>
      <c r="C353" s="4" t="n"/>
      <c r="D353" s="7" t="n"/>
      <c r="E353" s="7" t="n"/>
      <c r="F353" s="8">
        <f>IF(ISBLANK(B353),"",IF(I353="L","Baixa",IF(I353="A","Média",IF(I353="","","Alta"))))</f>
        <v/>
      </c>
      <c r="G353" s="7">
        <f>CONCATENATE(B353,I353)</f>
        <v/>
      </c>
      <c r="H353" s="5">
        <f>IF(ISBLANK(B353),"",IF(B353="ALI",IF(I353="L",7,IF(I353="A",10,15)),IF(B353="AIE",IF(I353="L",5,IF(I353="A",7,10)),IF(B353="SE",IF(I353="L",4,IF(I353="A",5,7)),IF(OR(B353="EE",B353="CE"),IF(I353="L",3,IF(I353="A",4,6)),0)))))</f>
        <v/>
      </c>
      <c r="I353" s="110">
        <f>IF(OR(ISBLANK(D353),ISBLANK(E353)),IF(OR(B353="ALI",B353="AIE"),"L",IF(OR(B353="EE",B353="SE",B353="CE"),"A","")),IF(B353="EE",IF(E353&gt;=3,IF(D353&gt;=5,"H","A"),IF(E353&gt;=2,IF(D353&gt;=16,"H",IF(D353&lt;=4,"L","A")),IF(D353&lt;=15,"L","A"))),IF(OR(B353="SE",B353="CE"),IF(E353&gt;=4,IF(D353&gt;=6,"H","A"),IF(E353&gt;=2,IF(D353&gt;=20,"H",IF(D353&lt;=5,"L","A")),IF(D353&lt;=19,"L","A"))),IF(OR(B353="ALI",B353="AIE"),IF(E353&gt;=6,IF(D353&gt;=20,"H","A"),IF(E353&gt;=2,IF(D353&gt;=51,"H",IF(D353&lt;=19,"L","A")),IF(D353&lt;=50,"L","A"))),""))))</f>
        <v/>
      </c>
      <c r="J353" s="7">
        <f>CONCATENATE(B353,C353)</f>
        <v/>
      </c>
      <c r="K353" s="9">
        <f>IF(OR(H353="",H353=0),L353,H353)</f>
        <v/>
      </c>
      <c r="L353" s="9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 t="n"/>
      <c r="N353" s="115" t="n"/>
      <c r="O353" s="6" t="n"/>
    </row>
    <row r="354">
      <c r="A354" s="112" t="n"/>
      <c r="B354" s="4" t="n"/>
      <c r="C354" s="4" t="n"/>
      <c r="D354" s="7" t="n"/>
      <c r="E354" s="7" t="n"/>
      <c r="F354" s="8">
        <f>IF(ISBLANK(B354),"",IF(I354="L","Baixa",IF(I354="A","Média",IF(I354="","","Alta"))))</f>
        <v/>
      </c>
      <c r="G354" s="7">
        <f>CONCATENATE(B354,I354)</f>
        <v/>
      </c>
      <c r="H354" s="5">
        <f>IF(ISBLANK(B354),"",IF(B354="ALI",IF(I354="L",7,IF(I354="A",10,15)),IF(B354="AIE",IF(I354="L",5,IF(I354="A",7,10)),IF(B354="SE",IF(I354="L",4,IF(I354="A",5,7)),IF(OR(B354="EE",B354="CE"),IF(I354="L",3,IF(I354="A",4,6)),0)))))</f>
        <v/>
      </c>
      <c r="I354" s="110">
        <f>IF(OR(ISBLANK(D354),ISBLANK(E354)),IF(OR(B354="ALI",B354="AIE"),"L",IF(OR(B354="EE",B354="SE",B354="CE"),"A","")),IF(B354="EE",IF(E354&gt;=3,IF(D354&gt;=5,"H","A"),IF(E354&gt;=2,IF(D354&gt;=16,"H",IF(D354&lt;=4,"L","A")),IF(D354&lt;=15,"L","A"))),IF(OR(B354="SE",B354="CE"),IF(E354&gt;=4,IF(D354&gt;=6,"H","A"),IF(E354&gt;=2,IF(D354&gt;=20,"H",IF(D354&lt;=5,"L","A")),IF(D354&lt;=19,"L","A"))),IF(OR(B354="ALI",B354="AIE"),IF(E354&gt;=6,IF(D354&gt;=20,"H","A"),IF(E354&gt;=2,IF(D354&gt;=51,"H",IF(D354&lt;=19,"L","A")),IF(D354&lt;=50,"L","A"))),""))))</f>
        <v/>
      </c>
      <c r="J354" s="7">
        <f>CONCATENATE(B354,C354)</f>
        <v/>
      </c>
      <c r="K354" s="9">
        <f>IF(OR(H354="",H354=0),L354,H354)</f>
        <v/>
      </c>
      <c r="L354" s="9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 t="n"/>
      <c r="N354" s="115" t="n"/>
      <c r="O354" s="6" t="n"/>
    </row>
    <row r="355">
      <c r="A355" s="112" t="n"/>
      <c r="B355" s="4" t="n"/>
      <c r="C355" s="4" t="n"/>
      <c r="D355" s="7" t="n"/>
      <c r="E355" s="7" t="n"/>
      <c r="F355" s="8">
        <f>IF(ISBLANK(B355),"",IF(I355="L","Baixa",IF(I355="A","Média",IF(I355="","","Alta"))))</f>
        <v/>
      </c>
      <c r="G355" s="7">
        <f>CONCATENATE(B355,I355)</f>
        <v/>
      </c>
      <c r="H355" s="5">
        <f>IF(ISBLANK(B355),"",IF(B355="ALI",IF(I355="L",7,IF(I355="A",10,15)),IF(B355="AIE",IF(I355="L",5,IF(I355="A",7,10)),IF(B355="SE",IF(I355="L",4,IF(I355="A",5,7)),IF(OR(B355="EE",B355="CE"),IF(I355="L",3,IF(I355="A",4,6)),0)))))</f>
        <v/>
      </c>
      <c r="I355" s="110">
        <f>IF(OR(ISBLANK(D355),ISBLANK(E355)),IF(OR(B355="ALI",B355="AIE"),"L",IF(OR(B355="EE",B355="SE",B355="CE"),"A","")),IF(B355="EE",IF(E355&gt;=3,IF(D355&gt;=5,"H","A"),IF(E355&gt;=2,IF(D355&gt;=16,"H",IF(D355&lt;=4,"L","A")),IF(D355&lt;=15,"L","A"))),IF(OR(B355="SE",B355="CE"),IF(E355&gt;=4,IF(D355&gt;=6,"H","A"),IF(E355&gt;=2,IF(D355&gt;=20,"H",IF(D355&lt;=5,"L","A")),IF(D355&lt;=19,"L","A"))),IF(OR(B355="ALI",B355="AIE"),IF(E355&gt;=6,IF(D355&gt;=20,"H","A"),IF(E355&gt;=2,IF(D355&gt;=51,"H",IF(D355&lt;=19,"L","A")),IF(D355&lt;=50,"L","A"))),""))))</f>
        <v/>
      </c>
      <c r="J355" s="7">
        <f>CONCATENATE(B355,C355)</f>
        <v/>
      </c>
      <c r="K355" s="9">
        <f>IF(OR(H355="",H355=0),L355,H355)</f>
        <v/>
      </c>
      <c r="L355" s="9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 t="n"/>
      <c r="N355" s="115" t="n"/>
      <c r="O355" s="6" t="n"/>
    </row>
    <row r="356">
      <c r="A356" s="112" t="n"/>
      <c r="B356" s="4" t="n"/>
      <c r="C356" s="4" t="n"/>
      <c r="D356" s="7" t="n"/>
      <c r="E356" s="7" t="n"/>
      <c r="F356" s="8">
        <f>IF(ISBLANK(B356),"",IF(I356="L","Baixa",IF(I356="A","Média",IF(I356="","","Alta"))))</f>
        <v/>
      </c>
      <c r="G356" s="7">
        <f>CONCATENATE(B356,I356)</f>
        <v/>
      </c>
      <c r="H356" s="5">
        <f>IF(ISBLANK(B356),"",IF(B356="ALI",IF(I356="L",7,IF(I356="A",10,15)),IF(B356="AIE",IF(I356="L",5,IF(I356="A",7,10)),IF(B356="SE",IF(I356="L",4,IF(I356="A",5,7)),IF(OR(B356="EE",B356="CE"),IF(I356="L",3,IF(I356="A",4,6)),0)))))</f>
        <v/>
      </c>
      <c r="I356" s="110">
        <f>IF(OR(ISBLANK(D356),ISBLANK(E356)),IF(OR(B356="ALI",B356="AIE"),"L",IF(OR(B356="EE",B356="SE",B356="CE"),"A","")),IF(B356="EE",IF(E356&gt;=3,IF(D356&gt;=5,"H","A"),IF(E356&gt;=2,IF(D356&gt;=16,"H",IF(D356&lt;=4,"L","A")),IF(D356&lt;=15,"L","A"))),IF(OR(B356="SE",B356="CE"),IF(E356&gt;=4,IF(D356&gt;=6,"H","A"),IF(E356&gt;=2,IF(D356&gt;=20,"H",IF(D356&lt;=5,"L","A")),IF(D356&lt;=19,"L","A"))),IF(OR(B356="ALI",B356="AIE"),IF(E356&gt;=6,IF(D356&gt;=20,"H","A"),IF(E356&gt;=2,IF(D356&gt;=51,"H",IF(D356&lt;=19,"L","A")),IF(D356&lt;=50,"L","A"))),""))))</f>
        <v/>
      </c>
      <c r="J356" s="7">
        <f>CONCATENATE(B356,C356)</f>
        <v/>
      </c>
      <c r="K356" s="9">
        <f>IF(OR(H356="",H356=0),L356,H356)</f>
        <v/>
      </c>
      <c r="L356" s="9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 t="n"/>
      <c r="N356" s="115" t="n"/>
      <c r="O356" s="6" t="n"/>
    </row>
    <row r="357">
      <c r="A357" s="112" t="n"/>
      <c r="B357" s="4" t="n"/>
      <c r="C357" s="4" t="n"/>
      <c r="D357" s="7" t="n"/>
      <c r="E357" s="7" t="n"/>
      <c r="F357" s="8">
        <f>IF(ISBLANK(B357),"",IF(I357="L","Baixa",IF(I357="A","Média",IF(I357="","","Alta"))))</f>
        <v/>
      </c>
      <c r="G357" s="7">
        <f>CONCATENATE(B357,I357)</f>
        <v/>
      </c>
      <c r="H357" s="5">
        <f>IF(ISBLANK(B357),"",IF(B357="ALI",IF(I357="L",7,IF(I357="A",10,15)),IF(B357="AIE",IF(I357="L",5,IF(I357="A",7,10)),IF(B357="SE",IF(I357="L",4,IF(I357="A",5,7)),IF(OR(B357="EE",B357="CE"),IF(I357="L",3,IF(I357="A",4,6)),0)))))</f>
        <v/>
      </c>
      <c r="I357" s="110">
        <f>IF(OR(ISBLANK(D357),ISBLANK(E357)),IF(OR(B357="ALI",B357="AIE"),"L",IF(OR(B357="EE",B357="SE",B357="CE"),"A","")),IF(B357="EE",IF(E357&gt;=3,IF(D357&gt;=5,"H","A"),IF(E357&gt;=2,IF(D357&gt;=16,"H",IF(D357&lt;=4,"L","A")),IF(D357&lt;=15,"L","A"))),IF(OR(B357="SE",B357="CE"),IF(E357&gt;=4,IF(D357&gt;=6,"H","A"),IF(E357&gt;=2,IF(D357&gt;=20,"H",IF(D357&lt;=5,"L","A")),IF(D357&lt;=19,"L","A"))),IF(OR(B357="ALI",B357="AIE"),IF(E357&gt;=6,IF(D357&gt;=20,"H","A"),IF(E357&gt;=2,IF(D357&gt;=51,"H",IF(D357&lt;=19,"L","A")),IF(D357&lt;=50,"L","A"))),""))))</f>
        <v/>
      </c>
      <c r="J357" s="7">
        <f>CONCATENATE(B357,C357)</f>
        <v/>
      </c>
      <c r="K357" s="9">
        <f>IF(OR(H357="",H357=0),L357,H357)</f>
        <v/>
      </c>
      <c r="L357" s="9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 t="n"/>
      <c r="N357" s="115" t="n"/>
      <c r="O357" s="6" t="n"/>
    </row>
    <row r="358">
      <c r="A358" s="112" t="n"/>
      <c r="B358" s="4" t="n"/>
      <c r="C358" s="4" t="n"/>
      <c r="D358" s="7" t="n"/>
      <c r="E358" s="7" t="n"/>
      <c r="F358" s="8">
        <f>IF(ISBLANK(B358),"",IF(I358="L","Baixa",IF(I358="A","Média",IF(I358="","","Alta"))))</f>
        <v/>
      </c>
      <c r="G358" s="7">
        <f>CONCATENATE(B358,I358)</f>
        <v/>
      </c>
      <c r="H358" s="5">
        <f>IF(ISBLANK(B358),"",IF(B358="ALI",IF(I358="L",7,IF(I358="A",10,15)),IF(B358="AIE",IF(I358="L",5,IF(I358="A",7,10)),IF(B358="SE",IF(I358="L",4,IF(I358="A",5,7)),IF(OR(B358="EE",B358="CE"),IF(I358="L",3,IF(I358="A",4,6)),0)))))</f>
        <v/>
      </c>
      <c r="I358" s="110">
        <f>IF(OR(ISBLANK(D358),ISBLANK(E358)),IF(OR(B358="ALI",B358="AIE"),"L",IF(OR(B358="EE",B358="SE",B358="CE"),"A","")),IF(B358="EE",IF(E358&gt;=3,IF(D358&gt;=5,"H","A"),IF(E358&gt;=2,IF(D358&gt;=16,"H",IF(D358&lt;=4,"L","A")),IF(D358&lt;=15,"L","A"))),IF(OR(B358="SE",B358="CE"),IF(E358&gt;=4,IF(D358&gt;=6,"H","A"),IF(E358&gt;=2,IF(D358&gt;=20,"H",IF(D358&lt;=5,"L","A")),IF(D358&lt;=19,"L","A"))),IF(OR(B358="ALI",B358="AIE"),IF(E358&gt;=6,IF(D358&gt;=20,"H","A"),IF(E358&gt;=2,IF(D358&gt;=51,"H",IF(D358&lt;=19,"L","A")),IF(D358&lt;=50,"L","A"))),""))))</f>
        <v/>
      </c>
      <c r="J358" s="7">
        <f>CONCATENATE(B358,C358)</f>
        <v/>
      </c>
      <c r="K358" s="9">
        <f>IF(OR(H358="",H358=0),L358,H358)</f>
        <v/>
      </c>
      <c r="L358" s="9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 t="n"/>
      <c r="N358" s="115" t="n"/>
      <c r="O358" s="6" t="n"/>
    </row>
    <row r="359">
      <c r="A359" s="112" t="n"/>
      <c r="B359" s="4" t="n"/>
      <c r="C359" s="4" t="n"/>
      <c r="D359" s="7" t="n"/>
      <c r="E359" s="7" t="n"/>
      <c r="F359" s="8">
        <f>IF(ISBLANK(B359),"",IF(I359="L","Baixa",IF(I359="A","Média",IF(I359="","","Alta"))))</f>
        <v/>
      </c>
      <c r="G359" s="7">
        <f>CONCATENATE(B359,I359)</f>
        <v/>
      </c>
      <c r="H359" s="5">
        <f>IF(ISBLANK(B359),"",IF(B359="ALI",IF(I359="L",7,IF(I359="A",10,15)),IF(B359="AIE",IF(I359="L",5,IF(I359="A",7,10)),IF(B359="SE",IF(I359="L",4,IF(I359="A",5,7)),IF(OR(B359="EE",B359="CE"),IF(I359="L",3,IF(I359="A",4,6)),0)))))</f>
        <v/>
      </c>
      <c r="I359" s="110">
        <f>IF(OR(ISBLANK(D359),ISBLANK(E359)),IF(OR(B359="ALI",B359="AIE"),"L",IF(OR(B359="EE",B359="SE",B359="CE"),"A","")),IF(B359="EE",IF(E359&gt;=3,IF(D359&gt;=5,"H","A"),IF(E359&gt;=2,IF(D359&gt;=16,"H",IF(D359&lt;=4,"L","A")),IF(D359&lt;=15,"L","A"))),IF(OR(B359="SE",B359="CE"),IF(E359&gt;=4,IF(D359&gt;=6,"H","A"),IF(E359&gt;=2,IF(D359&gt;=20,"H",IF(D359&lt;=5,"L","A")),IF(D359&lt;=19,"L","A"))),IF(OR(B359="ALI",B359="AIE"),IF(E359&gt;=6,IF(D359&gt;=20,"H","A"),IF(E359&gt;=2,IF(D359&gt;=51,"H",IF(D359&lt;=19,"L","A")),IF(D359&lt;=50,"L","A"))),""))))</f>
        <v/>
      </c>
      <c r="J359" s="7">
        <f>CONCATENATE(B359,C359)</f>
        <v/>
      </c>
      <c r="K359" s="9">
        <f>IF(OR(H359="",H359=0),L359,H359)</f>
        <v/>
      </c>
      <c r="L359" s="9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 t="n"/>
      <c r="N359" s="115" t="n"/>
      <c r="O359" s="6" t="n"/>
    </row>
    <row r="360">
      <c r="A360" s="112" t="n"/>
      <c r="B360" s="4" t="n"/>
      <c r="C360" s="4" t="n"/>
      <c r="D360" s="7" t="n"/>
      <c r="E360" s="7" t="n"/>
      <c r="F360" s="8">
        <f>IF(ISBLANK(B360),"",IF(I360="L","Baixa",IF(I360="A","Média",IF(I360="","","Alta"))))</f>
        <v/>
      </c>
      <c r="G360" s="7">
        <f>CONCATENATE(B360,I360)</f>
        <v/>
      </c>
      <c r="H360" s="5">
        <f>IF(ISBLANK(B360),"",IF(B360="ALI",IF(I360="L",7,IF(I360="A",10,15)),IF(B360="AIE",IF(I360="L",5,IF(I360="A",7,10)),IF(B360="SE",IF(I360="L",4,IF(I360="A",5,7)),IF(OR(B360="EE",B360="CE"),IF(I360="L",3,IF(I360="A",4,6)),0)))))</f>
        <v/>
      </c>
      <c r="I360" s="110">
        <f>IF(OR(ISBLANK(D360),ISBLANK(E360)),IF(OR(B360="ALI",B360="AIE"),"L",IF(OR(B360="EE",B360="SE",B360="CE"),"A","")),IF(B360="EE",IF(E360&gt;=3,IF(D360&gt;=5,"H","A"),IF(E360&gt;=2,IF(D360&gt;=16,"H",IF(D360&lt;=4,"L","A")),IF(D360&lt;=15,"L","A"))),IF(OR(B360="SE",B360="CE"),IF(E360&gt;=4,IF(D360&gt;=6,"H","A"),IF(E360&gt;=2,IF(D360&gt;=20,"H",IF(D360&lt;=5,"L","A")),IF(D360&lt;=19,"L","A"))),IF(OR(B360="ALI",B360="AIE"),IF(E360&gt;=6,IF(D360&gt;=20,"H","A"),IF(E360&gt;=2,IF(D360&gt;=51,"H",IF(D360&lt;=19,"L","A")),IF(D360&lt;=50,"L","A"))),""))))</f>
        <v/>
      </c>
      <c r="J360" s="7">
        <f>CONCATENATE(B360,C360)</f>
        <v/>
      </c>
      <c r="K360" s="9">
        <f>IF(OR(H360="",H360=0),L360,H360)</f>
        <v/>
      </c>
      <c r="L360" s="9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 t="n"/>
      <c r="N360" s="115" t="n"/>
      <c r="O360" s="6" t="n"/>
    </row>
    <row r="361">
      <c r="A361" s="112" t="n"/>
      <c r="B361" s="4" t="n"/>
      <c r="C361" s="4" t="n"/>
      <c r="D361" s="7" t="n"/>
      <c r="E361" s="7" t="n"/>
      <c r="F361" s="8">
        <f>IF(ISBLANK(B361),"",IF(I361="L","Baixa",IF(I361="A","Média",IF(I361="","","Alta"))))</f>
        <v/>
      </c>
      <c r="G361" s="7">
        <f>CONCATENATE(B361,I361)</f>
        <v/>
      </c>
      <c r="H361" s="5">
        <f>IF(ISBLANK(B361),"",IF(B361="ALI",IF(I361="L",7,IF(I361="A",10,15)),IF(B361="AIE",IF(I361="L",5,IF(I361="A",7,10)),IF(B361="SE",IF(I361="L",4,IF(I361="A",5,7)),IF(OR(B361="EE",B361="CE"),IF(I361="L",3,IF(I361="A",4,6)),0)))))</f>
        <v/>
      </c>
      <c r="I361" s="110">
        <f>IF(OR(ISBLANK(D361),ISBLANK(E361)),IF(OR(B361="ALI",B361="AIE"),"L",IF(OR(B361="EE",B361="SE",B361="CE"),"A","")),IF(B361="EE",IF(E361&gt;=3,IF(D361&gt;=5,"H","A"),IF(E361&gt;=2,IF(D361&gt;=16,"H",IF(D361&lt;=4,"L","A")),IF(D361&lt;=15,"L","A"))),IF(OR(B361="SE",B361="CE"),IF(E361&gt;=4,IF(D361&gt;=6,"H","A"),IF(E361&gt;=2,IF(D361&gt;=20,"H",IF(D361&lt;=5,"L","A")),IF(D361&lt;=19,"L","A"))),IF(OR(B361="ALI",B361="AIE"),IF(E361&gt;=6,IF(D361&gt;=20,"H","A"),IF(E361&gt;=2,IF(D361&gt;=51,"H",IF(D361&lt;=19,"L","A")),IF(D361&lt;=50,"L","A"))),""))))</f>
        <v/>
      </c>
      <c r="J361" s="7">
        <f>CONCATENATE(B361,C361)</f>
        <v/>
      </c>
      <c r="K361" s="9">
        <f>IF(OR(H361="",H361=0),L361,H361)</f>
        <v/>
      </c>
      <c r="L361" s="9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 t="n"/>
      <c r="N361" s="115" t="n"/>
      <c r="O361" s="6" t="n"/>
    </row>
    <row r="362">
      <c r="A362" s="112" t="n"/>
      <c r="B362" s="4" t="n"/>
      <c r="C362" s="4" t="n"/>
      <c r="D362" s="7" t="n"/>
      <c r="E362" s="7" t="n"/>
      <c r="F362" s="8">
        <f>IF(ISBLANK(B362),"",IF(I362="L","Baixa",IF(I362="A","Média",IF(I362="","","Alta"))))</f>
        <v/>
      </c>
      <c r="G362" s="7">
        <f>CONCATENATE(B362,I362)</f>
        <v/>
      </c>
      <c r="H362" s="5">
        <f>IF(ISBLANK(B362),"",IF(B362="ALI",IF(I362="L",7,IF(I362="A",10,15)),IF(B362="AIE",IF(I362="L",5,IF(I362="A",7,10)),IF(B362="SE",IF(I362="L",4,IF(I362="A",5,7)),IF(OR(B362="EE",B362="CE"),IF(I362="L",3,IF(I362="A",4,6)),0)))))</f>
        <v/>
      </c>
      <c r="I362" s="110">
        <f>IF(OR(ISBLANK(D362),ISBLANK(E362)),IF(OR(B362="ALI",B362="AIE"),"L",IF(OR(B362="EE",B362="SE",B362="CE"),"A","")),IF(B362="EE",IF(E362&gt;=3,IF(D362&gt;=5,"H","A"),IF(E362&gt;=2,IF(D362&gt;=16,"H",IF(D362&lt;=4,"L","A")),IF(D362&lt;=15,"L","A"))),IF(OR(B362="SE",B362="CE"),IF(E362&gt;=4,IF(D362&gt;=6,"H","A"),IF(E362&gt;=2,IF(D362&gt;=20,"H",IF(D362&lt;=5,"L","A")),IF(D362&lt;=19,"L","A"))),IF(OR(B362="ALI",B362="AIE"),IF(E362&gt;=6,IF(D362&gt;=20,"H","A"),IF(E362&gt;=2,IF(D362&gt;=51,"H",IF(D362&lt;=19,"L","A")),IF(D362&lt;=50,"L","A"))),""))))</f>
        <v/>
      </c>
      <c r="J362" s="7">
        <f>CONCATENATE(B362,C362)</f>
        <v/>
      </c>
      <c r="K362" s="9">
        <f>IF(OR(H362="",H362=0),L362,H362)</f>
        <v/>
      </c>
      <c r="L362" s="9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 t="n"/>
      <c r="N362" s="115" t="n"/>
      <c r="O362" s="6" t="n"/>
    </row>
    <row r="363">
      <c r="A363" s="112" t="n"/>
      <c r="B363" s="4" t="n"/>
      <c r="C363" s="4" t="n"/>
      <c r="D363" s="7" t="n"/>
      <c r="E363" s="7" t="n"/>
      <c r="F363" s="8">
        <f>IF(ISBLANK(B363),"",IF(I363="L","Baixa",IF(I363="A","Média",IF(I363="","","Alta"))))</f>
        <v/>
      </c>
      <c r="G363" s="7">
        <f>CONCATENATE(B363,I363)</f>
        <v/>
      </c>
      <c r="H363" s="5">
        <f>IF(ISBLANK(B363),"",IF(B363="ALI",IF(I363="L",7,IF(I363="A",10,15)),IF(B363="AIE",IF(I363="L",5,IF(I363="A",7,10)),IF(B363="SE",IF(I363="L",4,IF(I363="A",5,7)),IF(OR(B363="EE",B363="CE"),IF(I363="L",3,IF(I363="A",4,6)),0)))))</f>
        <v/>
      </c>
      <c r="I363" s="110">
        <f>IF(OR(ISBLANK(D363),ISBLANK(E363)),IF(OR(B363="ALI",B363="AIE"),"L",IF(OR(B363="EE",B363="SE",B363="CE"),"A","")),IF(B363="EE",IF(E363&gt;=3,IF(D363&gt;=5,"H","A"),IF(E363&gt;=2,IF(D363&gt;=16,"H",IF(D363&lt;=4,"L","A")),IF(D363&lt;=15,"L","A"))),IF(OR(B363="SE",B363="CE"),IF(E363&gt;=4,IF(D363&gt;=6,"H","A"),IF(E363&gt;=2,IF(D363&gt;=20,"H",IF(D363&lt;=5,"L","A")),IF(D363&lt;=19,"L","A"))),IF(OR(B363="ALI",B363="AIE"),IF(E363&gt;=6,IF(D363&gt;=20,"H","A"),IF(E363&gt;=2,IF(D363&gt;=51,"H",IF(D363&lt;=19,"L","A")),IF(D363&lt;=50,"L","A"))),""))))</f>
        <v/>
      </c>
      <c r="J363" s="7">
        <f>CONCATENATE(B363,C363)</f>
        <v/>
      </c>
      <c r="K363" s="9">
        <f>IF(OR(H363="",H363=0),L363,H363)</f>
        <v/>
      </c>
      <c r="L363" s="9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 t="n"/>
      <c r="N363" s="115" t="n"/>
      <c r="O363" s="6" t="n"/>
    </row>
    <row r="364">
      <c r="A364" s="112" t="n"/>
      <c r="B364" s="4" t="n"/>
      <c r="C364" s="4" t="n"/>
      <c r="D364" s="7" t="n"/>
      <c r="E364" s="7" t="n"/>
      <c r="F364" s="8">
        <f>IF(ISBLANK(B364),"",IF(I364="L","Baixa",IF(I364="A","Média",IF(I364="","","Alta"))))</f>
        <v/>
      </c>
      <c r="G364" s="7">
        <f>CONCATENATE(B364,I364)</f>
        <v/>
      </c>
      <c r="H364" s="5">
        <f>IF(ISBLANK(B364),"",IF(B364="ALI",IF(I364="L",7,IF(I364="A",10,15)),IF(B364="AIE",IF(I364="L",5,IF(I364="A",7,10)),IF(B364="SE",IF(I364="L",4,IF(I364="A",5,7)),IF(OR(B364="EE",B364="CE"),IF(I364="L",3,IF(I364="A",4,6)),0)))))</f>
        <v/>
      </c>
      <c r="I364" s="110">
        <f>IF(OR(ISBLANK(D364),ISBLANK(E364)),IF(OR(B364="ALI",B364="AIE"),"L",IF(OR(B364="EE",B364="SE",B364="CE"),"A","")),IF(B364="EE",IF(E364&gt;=3,IF(D364&gt;=5,"H","A"),IF(E364&gt;=2,IF(D364&gt;=16,"H",IF(D364&lt;=4,"L","A")),IF(D364&lt;=15,"L","A"))),IF(OR(B364="SE",B364="CE"),IF(E364&gt;=4,IF(D364&gt;=6,"H","A"),IF(E364&gt;=2,IF(D364&gt;=20,"H",IF(D364&lt;=5,"L","A")),IF(D364&lt;=19,"L","A"))),IF(OR(B364="ALI",B364="AIE"),IF(E364&gt;=6,IF(D364&gt;=20,"H","A"),IF(E364&gt;=2,IF(D364&gt;=51,"H",IF(D364&lt;=19,"L","A")),IF(D364&lt;=50,"L","A"))),""))))</f>
        <v/>
      </c>
      <c r="J364" s="7">
        <f>CONCATENATE(B364,C364)</f>
        <v/>
      </c>
      <c r="K364" s="9">
        <f>IF(OR(H364="",H364=0),L364,H364)</f>
        <v/>
      </c>
      <c r="L364" s="9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 t="n"/>
      <c r="N364" s="115" t="n"/>
      <c r="O364" s="6" t="n"/>
    </row>
    <row r="365">
      <c r="A365" s="112" t="n"/>
      <c r="B365" s="4" t="n"/>
      <c r="C365" s="4" t="n"/>
      <c r="D365" s="7" t="n"/>
      <c r="E365" s="7" t="n"/>
      <c r="F365" s="8">
        <f>IF(ISBLANK(B365),"",IF(I365="L","Baixa",IF(I365="A","Média",IF(I365="","","Alta"))))</f>
        <v/>
      </c>
      <c r="G365" s="7">
        <f>CONCATENATE(B365,I365)</f>
        <v/>
      </c>
      <c r="H365" s="5">
        <f>IF(ISBLANK(B365),"",IF(B365="ALI",IF(I365="L",7,IF(I365="A",10,15)),IF(B365="AIE",IF(I365="L",5,IF(I365="A",7,10)),IF(B365="SE",IF(I365="L",4,IF(I365="A",5,7)),IF(OR(B365="EE",B365="CE"),IF(I365="L",3,IF(I365="A",4,6)),0)))))</f>
        <v/>
      </c>
      <c r="I365" s="110">
        <f>IF(OR(ISBLANK(D365),ISBLANK(E365)),IF(OR(B365="ALI",B365="AIE"),"L",IF(OR(B365="EE",B365="SE",B365="CE"),"A","")),IF(B365="EE",IF(E365&gt;=3,IF(D365&gt;=5,"H","A"),IF(E365&gt;=2,IF(D365&gt;=16,"H",IF(D365&lt;=4,"L","A")),IF(D365&lt;=15,"L","A"))),IF(OR(B365="SE",B365="CE"),IF(E365&gt;=4,IF(D365&gt;=6,"H","A"),IF(E365&gt;=2,IF(D365&gt;=20,"H",IF(D365&lt;=5,"L","A")),IF(D365&lt;=19,"L","A"))),IF(OR(B365="ALI",B365="AIE"),IF(E365&gt;=6,IF(D365&gt;=20,"H","A"),IF(E365&gt;=2,IF(D365&gt;=51,"H",IF(D365&lt;=19,"L","A")),IF(D365&lt;=50,"L","A"))),""))))</f>
        <v/>
      </c>
      <c r="J365" s="7">
        <f>CONCATENATE(B365,C365)</f>
        <v/>
      </c>
      <c r="K365" s="9">
        <f>IF(OR(H365="",H365=0),L365,H365)</f>
        <v/>
      </c>
      <c r="L365" s="9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 t="n"/>
      <c r="N365" s="115" t="n"/>
      <c r="O365" s="6" t="n"/>
    </row>
    <row r="366">
      <c r="A366" s="112" t="n"/>
      <c r="B366" s="4" t="n"/>
      <c r="C366" s="4" t="n"/>
      <c r="D366" s="7" t="n"/>
      <c r="E366" s="7" t="n"/>
      <c r="F366" s="8">
        <f>IF(ISBLANK(B366),"",IF(I366="L","Baixa",IF(I366="A","Média",IF(I366="","","Alta"))))</f>
        <v/>
      </c>
      <c r="G366" s="7">
        <f>CONCATENATE(B366,I366)</f>
        <v/>
      </c>
      <c r="H366" s="5">
        <f>IF(ISBLANK(B366),"",IF(B366="ALI",IF(I366="L",7,IF(I366="A",10,15)),IF(B366="AIE",IF(I366="L",5,IF(I366="A",7,10)),IF(B366="SE",IF(I366="L",4,IF(I366="A",5,7)),IF(OR(B366="EE",B366="CE"),IF(I366="L",3,IF(I366="A",4,6)),0)))))</f>
        <v/>
      </c>
      <c r="I366" s="110">
        <f>IF(OR(ISBLANK(D366),ISBLANK(E366)),IF(OR(B366="ALI",B366="AIE"),"L",IF(OR(B366="EE",B366="SE",B366="CE"),"A","")),IF(B366="EE",IF(E366&gt;=3,IF(D366&gt;=5,"H","A"),IF(E366&gt;=2,IF(D366&gt;=16,"H",IF(D366&lt;=4,"L","A")),IF(D366&lt;=15,"L","A"))),IF(OR(B366="SE",B366="CE"),IF(E366&gt;=4,IF(D366&gt;=6,"H","A"),IF(E366&gt;=2,IF(D366&gt;=20,"H",IF(D366&lt;=5,"L","A")),IF(D366&lt;=19,"L","A"))),IF(OR(B366="ALI",B366="AIE"),IF(E366&gt;=6,IF(D366&gt;=20,"H","A"),IF(E366&gt;=2,IF(D366&gt;=51,"H",IF(D366&lt;=19,"L","A")),IF(D366&lt;=50,"L","A"))),""))))</f>
        <v/>
      </c>
      <c r="J366" s="7">
        <f>CONCATENATE(B366,C366)</f>
        <v/>
      </c>
      <c r="K366" s="9">
        <f>IF(OR(H366="",H366=0),L366,H366)</f>
        <v/>
      </c>
      <c r="L366" s="9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 t="n"/>
      <c r="N366" s="115" t="n"/>
      <c r="O366" s="6" t="n"/>
    </row>
    <row r="367">
      <c r="A367" s="112" t="n"/>
      <c r="B367" s="4" t="n"/>
      <c r="C367" s="4" t="n"/>
      <c r="D367" s="7" t="n"/>
      <c r="E367" s="7" t="n"/>
      <c r="F367" s="8">
        <f>IF(ISBLANK(B367),"",IF(I367="L","Baixa",IF(I367="A","Média",IF(I367="","","Alta"))))</f>
        <v/>
      </c>
      <c r="G367" s="7">
        <f>CONCATENATE(B367,I367)</f>
        <v/>
      </c>
      <c r="H367" s="5">
        <f>IF(ISBLANK(B367),"",IF(B367="ALI",IF(I367="L",7,IF(I367="A",10,15)),IF(B367="AIE",IF(I367="L",5,IF(I367="A",7,10)),IF(B367="SE",IF(I367="L",4,IF(I367="A",5,7)),IF(OR(B367="EE",B367="CE"),IF(I367="L",3,IF(I367="A",4,6)),0)))))</f>
        <v/>
      </c>
      <c r="I367" s="110">
        <f>IF(OR(ISBLANK(D367),ISBLANK(E367)),IF(OR(B367="ALI",B367="AIE"),"L",IF(OR(B367="EE",B367="SE",B367="CE"),"A","")),IF(B367="EE",IF(E367&gt;=3,IF(D367&gt;=5,"H","A"),IF(E367&gt;=2,IF(D367&gt;=16,"H",IF(D367&lt;=4,"L","A")),IF(D367&lt;=15,"L","A"))),IF(OR(B367="SE",B367="CE"),IF(E367&gt;=4,IF(D367&gt;=6,"H","A"),IF(E367&gt;=2,IF(D367&gt;=20,"H",IF(D367&lt;=5,"L","A")),IF(D367&lt;=19,"L","A"))),IF(OR(B367="ALI",B367="AIE"),IF(E367&gt;=6,IF(D367&gt;=20,"H","A"),IF(E367&gt;=2,IF(D367&gt;=51,"H",IF(D367&lt;=19,"L","A")),IF(D367&lt;=50,"L","A"))),""))))</f>
        <v/>
      </c>
      <c r="J367" s="7">
        <f>CONCATENATE(B367,C367)</f>
        <v/>
      </c>
      <c r="K367" s="9">
        <f>IF(OR(H367="",H367=0),L367,H367)</f>
        <v/>
      </c>
      <c r="L367" s="9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 t="n"/>
      <c r="N367" s="115" t="n"/>
      <c r="O367" s="6" t="n"/>
    </row>
    <row r="368">
      <c r="A368" s="112" t="n"/>
      <c r="B368" s="4" t="n"/>
      <c r="C368" s="4" t="n"/>
      <c r="D368" s="7" t="n"/>
      <c r="E368" s="7" t="n"/>
      <c r="F368" s="8">
        <f>IF(ISBLANK(B368),"",IF(I368="L","Baixa",IF(I368="A","Média",IF(I368="","","Alta"))))</f>
        <v/>
      </c>
      <c r="G368" s="7">
        <f>CONCATENATE(B368,I368)</f>
        <v/>
      </c>
      <c r="H368" s="5">
        <f>IF(ISBLANK(B368),"",IF(B368="ALI",IF(I368="L",7,IF(I368="A",10,15)),IF(B368="AIE",IF(I368="L",5,IF(I368="A",7,10)),IF(B368="SE",IF(I368="L",4,IF(I368="A",5,7)),IF(OR(B368="EE",B368="CE"),IF(I368="L",3,IF(I368="A",4,6)),0)))))</f>
        <v/>
      </c>
      <c r="I368" s="110">
        <f>IF(OR(ISBLANK(D368),ISBLANK(E368)),IF(OR(B368="ALI",B368="AIE"),"L",IF(OR(B368="EE",B368="SE",B368="CE"),"A","")),IF(B368="EE",IF(E368&gt;=3,IF(D368&gt;=5,"H","A"),IF(E368&gt;=2,IF(D368&gt;=16,"H",IF(D368&lt;=4,"L","A")),IF(D368&lt;=15,"L","A"))),IF(OR(B368="SE",B368="CE"),IF(E368&gt;=4,IF(D368&gt;=6,"H","A"),IF(E368&gt;=2,IF(D368&gt;=20,"H",IF(D368&lt;=5,"L","A")),IF(D368&lt;=19,"L","A"))),IF(OR(B368="ALI",B368="AIE"),IF(E368&gt;=6,IF(D368&gt;=20,"H","A"),IF(E368&gt;=2,IF(D368&gt;=51,"H",IF(D368&lt;=19,"L","A")),IF(D368&lt;=50,"L","A"))),""))))</f>
        <v/>
      </c>
      <c r="J368" s="7">
        <f>CONCATENATE(B368,C368)</f>
        <v/>
      </c>
      <c r="K368" s="9">
        <f>IF(OR(H368="",H368=0),L368,H368)</f>
        <v/>
      </c>
      <c r="L368" s="9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 t="n"/>
      <c r="N368" s="115" t="n"/>
      <c r="O368" s="6" t="n"/>
    </row>
    <row r="369">
      <c r="A369" s="112" t="n"/>
      <c r="B369" s="4" t="n"/>
      <c r="C369" s="4" t="n"/>
      <c r="D369" s="7" t="n"/>
      <c r="E369" s="7" t="n"/>
      <c r="F369" s="8">
        <f>IF(ISBLANK(B369),"",IF(I369="L","Baixa",IF(I369="A","Média",IF(I369="","","Alta"))))</f>
        <v/>
      </c>
      <c r="G369" s="7">
        <f>CONCATENATE(B369,I369)</f>
        <v/>
      </c>
      <c r="H369" s="5">
        <f>IF(ISBLANK(B369),"",IF(B369="ALI",IF(I369="L",7,IF(I369="A",10,15)),IF(B369="AIE",IF(I369="L",5,IF(I369="A",7,10)),IF(B369="SE",IF(I369="L",4,IF(I369="A",5,7)),IF(OR(B369="EE",B369="CE"),IF(I369="L",3,IF(I369="A",4,6)),0)))))</f>
        <v/>
      </c>
      <c r="I369" s="110">
        <f>IF(OR(ISBLANK(D369),ISBLANK(E369)),IF(OR(B369="ALI",B369="AIE"),"L",IF(OR(B369="EE",B369="SE",B369="CE"),"A","")),IF(B369="EE",IF(E369&gt;=3,IF(D369&gt;=5,"H","A"),IF(E369&gt;=2,IF(D369&gt;=16,"H",IF(D369&lt;=4,"L","A")),IF(D369&lt;=15,"L","A"))),IF(OR(B369="SE",B369="CE"),IF(E369&gt;=4,IF(D369&gt;=6,"H","A"),IF(E369&gt;=2,IF(D369&gt;=20,"H",IF(D369&lt;=5,"L","A")),IF(D369&lt;=19,"L","A"))),IF(OR(B369="ALI",B369="AIE"),IF(E369&gt;=6,IF(D369&gt;=20,"H","A"),IF(E369&gt;=2,IF(D369&gt;=51,"H",IF(D369&lt;=19,"L","A")),IF(D369&lt;=50,"L","A"))),""))))</f>
        <v/>
      </c>
      <c r="J369" s="7">
        <f>CONCATENATE(B369,C369)</f>
        <v/>
      </c>
      <c r="K369" s="9">
        <f>IF(OR(H369="",H369=0),L369,H369)</f>
        <v/>
      </c>
      <c r="L369" s="9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 t="n"/>
      <c r="N369" s="115" t="n"/>
      <c r="O369" s="6" t="n"/>
    </row>
    <row r="370">
      <c r="A370" s="112" t="n"/>
      <c r="B370" s="4" t="n"/>
      <c r="C370" s="4" t="n"/>
      <c r="D370" s="7" t="n"/>
      <c r="E370" s="7" t="n"/>
      <c r="F370" s="8">
        <f>IF(ISBLANK(B370),"",IF(I370="L","Baixa",IF(I370="A","Média",IF(I370="","","Alta"))))</f>
        <v/>
      </c>
      <c r="G370" s="7">
        <f>CONCATENATE(B370,I370)</f>
        <v/>
      </c>
      <c r="H370" s="5">
        <f>IF(ISBLANK(B370),"",IF(B370="ALI",IF(I370="L",7,IF(I370="A",10,15)),IF(B370="AIE",IF(I370="L",5,IF(I370="A",7,10)),IF(B370="SE",IF(I370="L",4,IF(I370="A",5,7)),IF(OR(B370="EE",B370="CE"),IF(I370="L",3,IF(I370="A",4,6)),0)))))</f>
        <v/>
      </c>
      <c r="I370" s="110">
        <f>IF(OR(ISBLANK(D370),ISBLANK(E370)),IF(OR(B370="ALI",B370="AIE"),"L",IF(OR(B370="EE",B370="SE",B370="CE"),"A","")),IF(B370="EE",IF(E370&gt;=3,IF(D370&gt;=5,"H","A"),IF(E370&gt;=2,IF(D370&gt;=16,"H",IF(D370&lt;=4,"L","A")),IF(D370&lt;=15,"L","A"))),IF(OR(B370="SE",B370="CE"),IF(E370&gt;=4,IF(D370&gt;=6,"H","A"),IF(E370&gt;=2,IF(D370&gt;=20,"H",IF(D370&lt;=5,"L","A")),IF(D370&lt;=19,"L","A"))),IF(OR(B370="ALI",B370="AIE"),IF(E370&gt;=6,IF(D370&gt;=20,"H","A"),IF(E370&gt;=2,IF(D370&gt;=51,"H",IF(D370&lt;=19,"L","A")),IF(D370&lt;=50,"L","A"))),""))))</f>
        <v/>
      </c>
      <c r="J370" s="7">
        <f>CONCATENATE(B370,C370)</f>
        <v/>
      </c>
      <c r="K370" s="9">
        <f>IF(OR(H370="",H370=0),L370,H370)</f>
        <v/>
      </c>
      <c r="L370" s="9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 t="n"/>
      <c r="N370" s="115" t="n"/>
      <c r="O370" s="6" t="n"/>
    </row>
    <row r="371">
      <c r="A371" s="112" t="n"/>
      <c r="B371" s="4" t="n"/>
      <c r="C371" s="4" t="n"/>
      <c r="D371" s="7" t="n"/>
      <c r="E371" s="7" t="n"/>
      <c r="F371" s="8">
        <f>IF(ISBLANK(B371),"",IF(I371="L","Baixa",IF(I371="A","Média",IF(I371="","","Alta"))))</f>
        <v/>
      </c>
      <c r="G371" s="7">
        <f>CONCATENATE(B371,I371)</f>
        <v/>
      </c>
      <c r="H371" s="5">
        <f>IF(ISBLANK(B371),"",IF(B371="ALI",IF(I371="L",7,IF(I371="A",10,15)),IF(B371="AIE",IF(I371="L",5,IF(I371="A",7,10)),IF(B371="SE",IF(I371="L",4,IF(I371="A",5,7)),IF(OR(B371="EE",B371="CE"),IF(I371="L",3,IF(I371="A",4,6)),0)))))</f>
        <v/>
      </c>
      <c r="I371" s="110">
        <f>IF(OR(ISBLANK(D371),ISBLANK(E371)),IF(OR(B371="ALI",B371="AIE"),"L",IF(OR(B371="EE",B371="SE",B371="CE"),"A","")),IF(B371="EE",IF(E371&gt;=3,IF(D371&gt;=5,"H","A"),IF(E371&gt;=2,IF(D371&gt;=16,"H",IF(D371&lt;=4,"L","A")),IF(D371&lt;=15,"L","A"))),IF(OR(B371="SE",B371="CE"),IF(E371&gt;=4,IF(D371&gt;=6,"H","A"),IF(E371&gt;=2,IF(D371&gt;=20,"H",IF(D371&lt;=5,"L","A")),IF(D371&lt;=19,"L","A"))),IF(OR(B371="ALI",B371="AIE"),IF(E371&gt;=6,IF(D371&gt;=20,"H","A"),IF(E371&gt;=2,IF(D371&gt;=51,"H",IF(D371&lt;=19,"L","A")),IF(D371&lt;=50,"L","A"))),""))))</f>
        <v/>
      </c>
      <c r="J371" s="7">
        <f>CONCATENATE(B371,C371)</f>
        <v/>
      </c>
      <c r="K371" s="9">
        <f>IF(OR(H371="",H371=0),L371,H371)</f>
        <v/>
      </c>
      <c r="L371" s="9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 t="n"/>
      <c r="N371" s="115" t="n"/>
      <c r="O371" s="6" t="n"/>
    </row>
    <row r="372">
      <c r="A372" s="112" t="n"/>
      <c r="B372" s="4" t="n"/>
      <c r="C372" s="4" t="n"/>
      <c r="D372" s="7" t="n"/>
      <c r="E372" s="7" t="n"/>
      <c r="F372" s="8">
        <f>IF(ISBLANK(B372),"",IF(I372="L","Baixa",IF(I372="A","Média",IF(I372="","","Alta"))))</f>
        <v/>
      </c>
      <c r="G372" s="7">
        <f>CONCATENATE(B372,I372)</f>
        <v/>
      </c>
      <c r="H372" s="5">
        <f>IF(ISBLANK(B372),"",IF(B372="ALI",IF(I372="L",7,IF(I372="A",10,15)),IF(B372="AIE",IF(I372="L",5,IF(I372="A",7,10)),IF(B372="SE",IF(I372="L",4,IF(I372="A",5,7)),IF(OR(B372="EE",B372="CE"),IF(I372="L",3,IF(I372="A",4,6)),0)))))</f>
        <v/>
      </c>
      <c r="I372" s="110">
        <f>IF(OR(ISBLANK(D372),ISBLANK(E372)),IF(OR(B372="ALI",B372="AIE"),"L",IF(OR(B372="EE",B372="SE",B372="CE"),"A","")),IF(B372="EE",IF(E372&gt;=3,IF(D372&gt;=5,"H","A"),IF(E372&gt;=2,IF(D372&gt;=16,"H",IF(D372&lt;=4,"L","A")),IF(D372&lt;=15,"L","A"))),IF(OR(B372="SE",B372="CE"),IF(E372&gt;=4,IF(D372&gt;=6,"H","A"),IF(E372&gt;=2,IF(D372&gt;=20,"H",IF(D372&lt;=5,"L","A")),IF(D372&lt;=19,"L","A"))),IF(OR(B372="ALI",B372="AIE"),IF(E372&gt;=6,IF(D372&gt;=20,"H","A"),IF(E372&gt;=2,IF(D372&gt;=51,"H",IF(D372&lt;=19,"L","A")),IF(D372&lt;=50,"L","A"))),""))))</f>
        <v/>
      </c>
      <c r="J372" s="7">
        <f>CONCATENATE(B372,C372)</f>
        <v/>
      </c>
      <c r="K372" s="9">
        <f>IF(OR(H372="",H372=0),L372,H372)</f>
        <v/>
      </c>
      <c r="L372" s="9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 t="n"/>
      <c r="N372" s="115" t="n"/>
      <c r="O372" s="6" t="n"/>
    </row>
    <row r="373">
      <c r="A373" s="112" t="n"/>
      <c r="B373" s="4" t="n"/>
      <c r="C373" s="4" t="n"/>
      <c r="D373" s="7" t="n"/>
      <c r="E373" s="7" t="n"/>
      <c r="F373" s="8">
        <f>IF(ISBLANK(B373),"",IF(I373="L","Baixa",IF(I373="A","Média",IF(I373="","","Alta"))))</f>
        <v/>
      </c>
      <c r="G373" s="7">
        <f>CONCATENATE(B373,I373)</f>
        <v/>
      </c>
      <c r="H373" s="5">
        <f>IF(ISBLANK(B373),"",IF(B373="ALI",IF(I373="L",7,IF(I373="A",10,15)),IF(B373="AIE",IF(I373="L",5,IF(I373="A",7,10)),IF(B373="SE",IF(I373="L",4,IF(I373="A",5,7)),IF(OR(B373="EE",B373="CE"),IF(I373="L",3,IF(I373="A",4,6)),0)))))</f>
        <v/>
      </c>
      <c r="I373" s="110">
        <f>IF(OR(ISBLANK(D373),ISBLANK(E373)),IF(OR(B373="ALI",B373="AIE"),"L",IF(OR(B373="EE",B373="SE",B373="CE"),"A","")),IF(B373="EE",IF(E373&gt;=3,IF(D373&gt;=5,"H","A"),IF(E373&gt;=2,IF(D373&gt;=16,"H",IF(D373&lt;=4,"L","A")),IF(D373&lt;=15,"L","A"))),IF(OR(B373="SE",B373="CE"),IF(E373&gt;=4,IF(D373&gt;=6,"H","A"),IF(E373&gt;=2,IF(D373&gt;=20,"H",IF(D373&lt;=5,"L","A")),IF(D373&lt;=19,"L","A"))),IF(OR(B373="ALI",B373="AIE"),IF(E373&gt;=6,IF(D373&gt;=20,"H","A"),IF(E373&gt;=2,IF(D373&gt;=51,"H",IF(D373&lt;=19,"L","A")),IF(D373&lt;=50,"L","A"))),""))))</f>
        <v/>
      </c>
      <c r="J373" s="7">
        <f>CONCATENATE(B373,C373)</f>
        <v/>
      </c>
      <c r="K373" s="9">
        <f>IF(OR(H373="",H373=0),L373,H373)</f>
        <v/>
      </c>
      <c r="L373" s="9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 t="n"/>
      <c r="N373" s="115" t="n"/>
      <c r="O373" s="6" t="n"/>
    </row>
    <row r="374">
      <c r="A374" s="112" t="n"/>
      <c r="B374" s="4" t="n"/>
      <c r="C374" s="4" t="n"/>
      <c r="D374" s="7" t="n"/>
      <c r="E374" s="7" t="n"/>
      <c r="F374" s="8">
        <f>IF(ISBLANK(B374),"",IF(I374="L","Baixa",IF(I374="A","Média",IF(I374="","","Alta"))))</f>
        <v/>
      </c>
      <c r="G374" s="7">
        <f>CONCATENATE(B374,I374)</f>
        <v/>
      </c>
      <c r="H374" s="5">
        <f>IF(ISBLANK(B374),"",IF(B374="ALI",IF(I374="L",7,IF(I374="A",10,15)),IF(B374="AIE",IF(I374="L",5,IF(I374="A",7,10)),IF(B374="SE",IF(I374="L",4,IF(I374="A",5,7)),IF(OR(B374="EE",B374="CE"),IF(I374="L",3,IF(I374="A",4,6)),0)))))</f>
        <v/>
      </c>
      <c r="I374" s="110">
        <f>IF(OR(ISBLANK(D374),ISBLANK(E374)),IF(OR(B374="ALI",B374="AIE"),"L",IF(OR(B374="EE",B374="SE",B374="CE"),"A","")),IF(B374="EE",IF(E374&gt;=3,IF(D374&gt;=5,"H","A"),IF(E374&gt;=2,IF(D374&gt;=16,"H",IF(D374&lt;=4,"L","A")),IF(D374&lt;=15,"L","A"))),IF(OR(B374="SE",B374="CE"),IF(E374&gt;=4,IF(D374&gt;=6,"H","A"),IF(E374&gt;=2,IF(D374&gt;=20,"H",IF(D374&lt;=5,"L","A")),IF(D374&lt;=19,"L","A"))),IF(OR(B374="ALI",B374="AIE"),IF(E374&gt;=6,IF(D374&gt;=20,"H","A"),IF(E374&gt;=2,IF(D374&gt;=51,"H",IF(D374&lt;=19,"L","A")),IF(D374&lt;=50,"L","A"))),""))))</f>
        <v/>
      </c>
      <c r="J374" s="7">
        <f>CONCATENATE(B374,C374)</f>
        <v/>
      </c>
      <c r="K374" s="9">
        <f>IF(OR(H374="",H374=0),L374,H374)</f>
        <v/>
      </c>
      <c r="L374" s="9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 t="n"/>
      <c r="N374" s="115" t="n"/>
      <c r="O374" s="6" t="n"/>
    </row>
    <row r="375">
      <c r="A375" s="112" t="n"/>
      <c r="B375" s="4" t="n"/>
      <c r="C375" s="4" t="n"/>
      <c r="D375" s="7" t="n"/>
      <c r="E375" s="7" t="n"/>
      <c r="F375" s="8">
        <f>IF(ISBLANK(B375),"",IF(I375="L","Baixa",IF(I375="A","Média",IF(I375="","","Alta"))))</f>
        <v/>
      </c>
      <c r="G375" s="7">
        <f>CONCATENATE(B375,I375)</f>
        <v/>
      </c>
      <c r="H375" s="5">
        <f>IF(ISBLANK(B375),"",IF(B375="ALI",IF(I375="L",7,IF(I375="A",10,15)),IF(B375="AIE",IF(I375="L",5,IF(I375="A",7,10)),IF(B375="SE",IF(I375="L",4,IF(I375="A",5,7)),IF(OR(B375="EE",B375="CE"),IF(I375="L",3,IF(I375="A",4,6)),0)))))</f>
        <v/>
      </c>
      <c r="I375" s="110">
        <f>IF(OR(ISBLANK(D375),ISBLANK(E375)),IF(OR(B375="ALI",B375="AIE"),"L",IF(OR(B375="EE",B375="SE",B375="CE"),"A","")),IF(B375="EE",IF(E375&gt;=3,IF(D375&gt;=5,"H","A"),IF(E375&gt;=2,IF(D375&gt;=16,"H",IF(D375&lt;=4,"L","A")),IF(D375&lt;=15,"L","A"))),IF(OR(B375="SE",B375="CE"),IF(E375&gt;=4,IF(D375&gt;=6,"H","A"),IF(E375&gt;=2,IF(D375&gt;=20,"H",IF(D375&lt;=5,"L","A")),IF(D375&lt;=19,"L","A"))),IF(OR(B375="ALI",B375="AIE"),IF(E375&gt;=6,IF(D375&gt;=20,"H","A"),IF(E375&gt;=2,IF(D375&gt;=51,"H",IF(D375&lt;=19,"L","A")),IF(D375&lt;=50,"L","A"))),""))))</f>
        <v/>
      </c>
      <c r="J375" s="7">
        <f>CONCATENATE(B375,C375)</f>
        <v/>
      </c>
      <c r="K375" s="9">
        <f>IF(OR(H375="",H375=0),L375,H375)</f>
        <v/>
      </c>
      <c r="L375" s="9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 t="n"/>
      <c r="N375" s="115" t="n"/>
      <c r="O375" s="6" t="n"/>
    </row>
    <row r="376">
      <c r="A376" s="112" t="n"/>
      <c r="B376" s="4" t="n"/>
      <c r="C376" s="4" t="n"/>
      <c r="D376" s="7" t="n"/>
      <c r="E376" s="7" t="n"/>
      <c r="F376" s="8">
        <f>IF(ISBLANK(B376),"",IF(I376="L","Baixa",IF(I376="A","Média",IF(I376="","","Alta"))))</f>
        <v/>
      </c>
      <c r="G376" s="7">
        <f>CONCATENATE(B376,I376)</f>
        <v/>
      </c>
      <c r="H376" s="5">
        <f>IF(ISBLANK(B376),"",IF(B376="ALI",IF(I376="L",7,IF(I376="A",10,15)),IF(B376="AIE",IF(I376="L",5,IF(I376="A",7,10)),IF(B376="SE",IF(I376="L",4,IF(I376="A",5,7)),IF(OR(B376="EE",B376="CE"),IF(I376="L",3,IF(I376="A",4,6)),0)))))</f>
        <v/>
      </c>
      <c r="I376" s="110">
        <f>IF(OR(ISBLANK(D376),ISBLANK(E376)),IF(OR(B376="ALI",B376="AIE"),"L",IF(OR(B376="EE",B376="SE",B376="CE"),"A","")),IF(B376="EE",IF(E376&gt;=3,IF(D376&gt;=5,"H","A"),IF(E376&gt;=2,IF(D376&gt;=16,"H",IF(D376&lt;=4,"L","A")),IF(D376&lt;=15,"L","A"))),IF(OR(B376="SE",B376="CE"),IF(E376&gt;=4,IF(D376&gt;=6,"H","A"),IF(E376&gt;=2,IF(D376&gt;=20,"H",IF(D376&lt;=5,"L","A")),IF(D376&lt;=19,"L","A"))),IF(OR(B376="ALI",B376="AIE"),IF(E376&gt;=6,IF(D376&gt;=20,"H","A"),IF(E376&gt;=2,IF(D376&gt;=51,"H",IF(D376&lt;=19,"L","A")),IF(D376&lt;=50,"L","A"))),""))))</f>
        <v/>
      </c>
      <c r="J376" s="7">
        <f>CONCATENATE(B376,C376)</f>
        <v/>
      </c>
      <c r="K376" s="9">
        <f>IF(OR(H376="",H376=0),L376,H376)</f>
        <v/>
      </c>
      <c r="L376" s="9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 t="n"/>
      <c r="N376" s="115" t="n"/>
      <c r="O376" s="6" t="n"/>
    </row>
    <row r="377">
      <c r="A377" s="112" t="n"/>
      <c r="B377" s="4" t="n"/>
      <c r="C377" s="4" t="n"/>
      <c r="D377" s="7" t="n"/>
      <c r="E377" s="7" t="n"/>
      <c r="F377" s="8">
        <f>IF(ISBLANK(B377),"",IF(I377="L","Baixa",IF(I377="A","Média",IF(I377="","","Alta"))))</f>
        <v/>
      </c>
      <c r="G377" s="7">
        <f>CONCATENATE(B377,I377)</f>
        <v/>
      </c>
      <c r="H377" s="5">
        <f>IF(ISBLANK(B377),"",IF(B377="ALI",IF(I377="L",7,IF(I377="A",10,15)),IF(B377="AIE",IF(I377="L",5,IF(I377="A",7,10)),IF(B377="SE",IF(I377="L",4,IF(I377="A",5,7)),IF(OR(B377="EE",B377="CE"),IF(I377="L",3,IF(I377="A",4,6)),0)))))</f>
        <v/>
      </c>
      <c r="I377" s="110">
        <f>IF(OR(ISBLANK(D377),ISBLANK(E377)),IF(OR(B377="ALI",B377="AIE"),"L",IF(OR(B377="EE",B377="SE",B377="CE"),"A","")),IF(B377="EE",IF(E377&gt;=3,IF(D377&gt;=5,"H","A"),IF(E377&gt;=2,IF(D377&gt;=16,"H",IF(D377&lt;=4,"L","A")),IF(D377&lt;=15,"L","A"))),IF(OR(B377="SE",B377="CE"),IF(E377&gt;=4,IF(D377&gt;=6,"H","A"),IF(E377&gt;=2,IF(D377&gt;=20,"H",IF(D377&lt;=5,"L","A")),IF(D377&lt;=19,"L","A"))),IF(OR(B377="ALI",B377="AIE"),IF(E377&gt;=6,IF(D377&gt;=20,"H","A"),IF(E377&gt;=2,IF(D377&gt;=51,"H",IF(D377&lt;=19,"L","A")),IF(D377&lt;=50,"L","A"))),""))))</f>
        <v/>
      </c>
      <c r="J377" s="7">
        <f>CONCATENATE(B377,C377)</f>
        <v/>
      </c>
      <c r="K377" s="9">
        <f>IF(OR(H377="",H377=0),L377,H377)</f>
        <v/>
      </c>
      <c r="L377" s="9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 t="n"/>
      <c r="N377" s="115" t="n"/>
      <c r="O377" s="6" t="n"/>
    </row>
    <row r="378">
      <c r="A378" s="112" t="n"/>
      <c r="B378" s="4" t="n"/>
      <c r="C378" s="4" t="n"/>
      <c r="D378" s="7" t="n"/>
      <c r="E378" s="7" t="n"/>
      <c r="F378" s="8">
        <f>IF(ISBLANK(B378),"",IF(I378="L","Baixa",IF(I378="A","Média",IF(I378="","","Alta"))))</f>
        <v/>
      </c>
      <c r="G378" s="7">
        <f>CONCATENATE(B378,I378)</f>
        <v/>
      </c>
      <c r="H378" s="5">
        <f>IF(ISBLANK(B378),"",IF(B378="ALI",IF(I378="L",7,IF(I378="A",10,15)),IF(B378="AIE",IF(I378="L",5,IF(I378="A",7,10)),IF(B378="SE",IF(I378="L",4,IF(I378="A",5,7)),IF(OR(B378="EE",B378="CE"),IF(I378="L",3,IF(I378="A",4,6)),0)))))</f>
        <v/>
      </c>
      <c r="I378" s="110">
        <f>IF(OR(ISBLANK(D378),ISBLANK(E378)),IF(OR(B378="ALI",B378="AIE"),"L",IF(OR(B378="EE",B378="SE",B378="CE"),"A","")),IF(B378="EE",IF(E378&gt;=3,IF(D378&gt;=5,"H","A"),IF(E378&gt;=2,IF(D378&gt;=16,"H",IF(D378&lt;=4,"L","A")),IF(D378&lt;=15,"L","A"))),IF(OR(B378="SE",B378="CE"),IF(E378&gt;=4,IF(D378&gt;=6,"H","A"),IF(E378&gt;=2,IF(D378&gt;=20,"H",IF(D378&lt;=5,"L","A")),IF(D378&lt;=19,"L","A"))),IF(OR(B378="ALI",B378="AIE"),IF(E378&gt;=6,IF(D378&gt;=20,"H","A"),IF(E378&gt;=2,IF(D378&gt;=51,"H",IF(D378&lt;=19,"L","A")),IF(D378&lt;=50,"L","A"))),""))))</f>
        <v/>
      </c>
      <c r="J378" s="7">
        <f>CONCATENATE(B378,C378)</f>
        <v/>
      </c>
      <c r="K378" s="9">
        <f>IF(OR(H378="",H378=0),L378,H378)</f>
        <v/>
      </c>
      <c r="L378" s="9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 t="n"/>
      <c r="N378" s="115" t="n"/>
      <c r="O378" s="6" t="n"/>
    </row>
    <row r="379">
      <c r="A379" s="112" t="n"/>
      <c r="B379" s="4" t="n"/>
      <c r="C379" s="4" t="n"/>
      <c r="D379" s="7" t="n"/>
      <c r="E379" s="7" t="n"/>
      <c r="F379" s="8">
        <f>IF(ISBLANK(B379),"",IF(I379="L","Baixa",IF(I379="A","Média",IF(I379="","","Alta"))))</f>
        <v/>
      </c>
      <c r="G379" s="7">
        <f>CONCATENATE(B379,I379)</f>
        <v/>
      </c>
      <c r="H379" s="5">
        <f>IF(ISBLANK(B379),"",IF(B379="ALI",IF(I379="L",7,IF(I379="A",10,15)),IF(B379="AIE",IF(I379="L",5,IF(I379="A",7,10)),IF(B379="SE",IF(I379="L",4,IF(I379="A",5,7)),IF(OR(B379="EE",B379="CE"),IF(I379="L",3,IF(I379="A",4,6)),0)))))</f>
        <v/>
      </c>
      <c r="I379" s="110">
        <f>IF(OR(ISBLANK(D379),ISBLANK(E379)),IF(OR(B379="ALI",B379="AIE"),"L",IF(OR(B379="EE",B379="SE",B379="CE"),"A","")),IF(B379="EE",IF(E379&gt;=3,IF(D379&gt;=5,"H","A"),IF(E379&gt;=2,IF(D379&gt;=16,"H",IF(D379&lt;=4,"L","A")),IF(D379&lt;=15,"L","A"))),IF(OR(B379="SE",B379="CE"),IF(E379&gt;=4,IF(D379&gt;=6,"H","A"),IF(E379&gt;=2,IF(D379&gt;=20,"H",IF(D379&lt;=5,"L","A")),IF(D379&lt;=19,"L","A"))),IF(OR(B379="ALI",B379="AIE"),IF(E379&gt;=6,IF(D379&gt;=20,"H","A"),IF(E379&gt;=2,IF(D379&gt;=51,"H",IF(D379&lt;=19,"L","A")),IF(D379&lt;=50,"L","A"))),""))))</f>
        <v/>
      </c>
      <c r="J379" s="7">
        <f>CONCATENATE(B379,C379)</f>
        <v/>
      </c>
      <c r="K379" s="9">
        <f>IF(OR(H379="",H379=0),L379,H379)</f>
        <v/>
      </c>
      <c r="L379" s="9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 t="n"/>
      <c r="N379" s="115" t="n"/>
      <c r="O379" s="6" t="n"/>
    </row>
    <row r="380">
      <c r="A380" s="112" t="n"/>
      <c r="B380" s="4" t="n"/>
      <c r="C380" s="4" t="n"/>
      <c r="D380" s="7" t="n"/>
      <c r="E380" s="7" t="n"/>
      <c r="F380" s="8">
        <f>IF(ISBLANK(B380),"",IF(I380="L","Baixa",IF(I380="A","Média",IF(I380="","","Alta"))))</f>
        <v/>
      </c>
      <c r="G380" s="7">
        <f>CONCATENATE(B380,I380)</f>
        <v/>
      </c>
      <c r="H380" s="5">
        <f>IF(ISBLANK(B380),"",IF(B380="ALI",IF(I380="L",7,IF(I380="A",10,15)),IF(B380="AIE",IF(I380="L",5,IF(I380="A",7,10)),IF(B380="SE",IF(I380="L",4,IF(I380="A",5,7)),IF(OR(B380="EE",B380="CE"),IF(I380="L",3,IF(I380="A",4,6)),0)))))</f>
        <v/>
      </c>
      <c r="I380" s="110">
        <f>IF(OR(ISBLANK(D380),ISBLANK(E380)),IF(OR(B380="ALI",B380="AIE"),"L",IF(OR(B380="EE",B380="SE",B380="CE"),"A","")),IF(B380="EE",IF(E380&gt;=3,IF(D380&gt;=5,"H","A"),IF(E380&gt;=2,IF(D380&gt;=16,"H",IF(D380&lt;=4,"L","A")),IF(D380&lt;=15,"L","A"))),IF(OR(B380="SE",B380="CE"),IF(E380&gt;=4,IF(D380&gt;=6,"H","A"),IF(E380&gt;=2,IF(D380&gt;=20,"H",IF(D380&lt;=5,"L","A")),IF(D380&lt;=19,"L","A"))),IF(OR(B380="ALI",B380="AIE"),IF(E380&gt;=6,IF(D380&gt;=20,"H","A"),IF(E380&gt;=2,IF(D380&gt;=51,"H",IF(D380&lt;=19,"L","A")),IF(D380&lt;=50,"L","A"))),""))))</f>
        <v/>
      </c>
      <c r="J380" s="7">
        <f>CONCATENATE(B380,C380)</f>
        <v/>
      </c>
      <c r="K380" s="9">
        <f>IF(OR(H380="",H380=0),L380,H380)</f>
        <v/>
      </c>
      <c r="L380" s="9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 t="n"/>
      <c r="N380" s="115" t="n"/>
      <c r="O380" s="6" t="n"/>
    </row>
    <row r="381">
      <c r="A381" s="112" t="n"/>
      <c r="B381" s="4" t="n"/>
      <c r="C381" s="4" t="n"/>
      <c r="D381" s="7" t="n"/>
      <c r="E381" s="7" t="n"/>
      <c r="F381" s="8">
        <f>IF(ISBLANK(B381),"",IF(I381="L","Baixa",IF(I381="A","Média",IF(I381="","","Alta"))))</f>
        <v/>
      </c>
      <c r="G381" s="7">
        <f>CONCATENATE(B381,I381)</f>
        <v/>
      </c>
      <c r="H381" s="5">
        <f>IF(ISBLANK(B381),"",IF(B381="ALI",IF(I381="L",7,IF(I381="A",10,15)),IF(B381="AIE",IF(I381="L",5,IF(I381="A",7,10)),IF(B381="SE",IF(I381="L",4,IF(I381="A",5,7)),IF(OR(B381="EE",B381="CE"),IF(I381="L",3,IF(I381="A",4,6)),0)))))</f>
        <v/>
      </c>
      <c r="I381" s="110">
        <f>IF(OR(ISBLANK(D381),ISBLANK(E381)),IF(OR(B381="ALI",B381="AIE"),"L",IF(OR(B381="EE",B381="SE",B381="CE"),"A","")),IF(B381="EE",IF(E381&gt;=3,IF(D381&gt;=5,"H","A"),IF(E381&gt;=2,IF(D381&gt;=16,"H",IF(D381&lt;=4,"L","A")),IF(D381&lt;=15,"L","A"))),IF(OR(B381="SE",B381="CE"),IF(E381&gt;=4,IF(D381&gt;=6,"H","A"),IF(E381&gt;=2,IF(D381&gt;=20,"H",IF(D381&lt;=5,"L","A")),IF(D381&lt;=19,"L","A"))),IF(OR(B381="ALI",B381="AIE"),IF(E381&gt;=6,IF(D381&gt;=20,"H","A"),IF(E381&gt;=2,IF(D381&gt;=51,"H",IF(D381&lt;=19,"L","A")),IF(D381&lt;=50,"L","A"))),""))))</f>
        <v/>
      </c>
      <c r="J381" s="7">
        <f>CONCATENATE(B381,C381)</f>
        <v/>
      </c>
      <c r="K381" s="9">
        <f>IF(OR(H381="",H381=0),L381,H381)</f>
        <v/>
      </c>
      <c r="L381" s="9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 t="n"/>
      <c r="N381" s="115" t="n"/>
      <c r="O381" s="6" t="n"/>
    </row>
    <row r="382">
      <c r="A382" s="112" t="n"/>
      <c r="B382" s="4" t="n"/>
      <c r="C382" s="4" t="n"/>
      <c r="D382" s="7" t="n"/>
      <c r="E382" s="7" t="n"/>
      <c r="F382" s="8">
        <f>IF(ISBLANK(B382),"",IF(I382="L","Baixa",IF(I382="A","Média",IF(I382="","","Alta"))))</f>
        <v/>
      </c>
      <c r="G382" s="7">
        <f>CONCATENATE(B382,I382)</f>
        <v/>
      </c>
      <c r="H382" s="5">
        <f>IF(ISBLANK(B382),"",IF(B382="ALI",IF(I382="L",7,IF(I382="A",10,15)),IF(B382="AIE",IF(I382="L",5,IF(I382="A",7,10)),IF(B382="SE",IF(I382="L",4,IF(I382="A",5,7)),IF(OR(B382="EE",B382="CE"),IF(I382="L",3,IF(I382="A",4,6)),0)))))</f>
        <v/>
      </c>
      <c r="I382" s="110">
        <f>IF(OR(ISBLANK(D382),ISBLANK(E382)),IF(OR(B382="ALI",B382="AIE"),"L",IF(OR(B382="EE",B382="SE",B382="CE"),"A","")),IF(B382="EE",IF(E382&gt;=3,IF(D382&gt;=5,"H","A"),IF(E382&gt;=2,IF(D382&gt;=16,"H",IF(D382&lt;=4,"L","A")),IF(D382&lt;=15,"L","A"))),IF(OR(B382="SE",B382="CE"),IF(E382&gt;=4,IF(D382&gt;=6,"H","A"),IF(E382&gt;=2,IF(D382&gt;=20,"H",IF(D382&lt;=5,"L","A")),IF(D382&lt;=19,"L","A"))),IF(OR(B382="ALI",B382="AIE"),IF(E382&gt;=6,IF(D382&gt;=20,"H","A"),IF(E382&gt;=2,IF(D382&gt;=51,"H",IF(D382&lt;=19,"L","A")),IF(D382&lt;=50,"L","A"))),""))))</f>
        <v/>
      </c>
      <c r="J382" s="7">
        <f>CONCATENATE(B382,C382)</f>
        <v/>
      </c>
      <c r="K382" s="9">
        <f>IF(OR(H382="",H382=0),L382,H382)</f>
        <v/>
      </c>
      <c r="L382" s="9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 t="n"/>
      <c r="N382" s="115" t="n"/>
      <c r="O382" s="6" t="n"/>
    </row>
    <row r="383">
      <c r="A383" s="112" t="n"/>
      <c r="B383" s="4" t="n"/>
      <c r="C383" s="4" t="n"/>
      <c r="D383" s="7" t="n"/>
      <c r="E383" s="7" t="n"/>
      <c r="F383" s="8">
        <f>IF(ISBLANK(B383),"",IF(I383="L","Baixa",IF(I383="A","Média",IF(I383="","","Alta"))))</f>
        <v/>
      </c>
      <c r="G383" s="7">
        <f>CONCATENATE(B383,I383)</f>
        <v/>
      </c>
      <c r="H383" s="5">
        <f>IF(ISBLANK(B383),"",IF(B383="ALI",IF(I383="L",7,IF(I383="A",10,15)),IF(B383="AIE",IF(I383="L",5,IF(I383="A",7,10)),IF(B383="SE",IF(I383="L",4,IF(I383="A",5,7)),IF(OR(B383="EE",B383="CE"),IF(I383="L",3,IF(I383="A",4,6)),0)))))</f>
        <v/>
      </c>
      <c r="I383" s="110">
        <f>IF(OR(ISBLANK(D383),ISBLANK(E383)),IF(OR(B383="ALI",B383="AIE"),"L",IF(OR(B383="EE",B383="SE",B383="CE"),"A","")),IF(B383="EE",IF(E383&gt;=3,IF(D383&gt;=5,"H","A"),IF(E383&gt;=2,IF(D383&gt;=16,"H",IF(D383&lt;=4,"L","A")),IF(D383&lt;=15,"L","A"))),IF(OR(B383="SE",B383="CE"),IF(E383&gt;=4,IF(D383&gt;=6,"H","A"),IF(E383&gt;=2,IF(D383&gt;=20,"H",IF(D383&lt;=5,"L","A")),IF(D383&lt;=19,"L","A"))),IF(OR(B383="ALI",B383="AIE"),IF(E383&gt;=6,IF(D383&gt;=20,"H","A"),IF(E383&gt;=2,IF(D383&gt;=51,"H",IF(D383&lt;=19,"L","A")),IF(D383&lt;=50,"L","A"))),""))))</f>
        <v/>
      </c>
      <c r="J383" s="7">
        <f>CONCATENATE(B383,C383)</f>
        <v/>
      </c>
      <c r="K383" s="9">
        <f>IF(OR(H383="",H383=0),L383,H383)</f>
        <v/>
      </c>
      <c r="L383" s="9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 t="n"/>
      <c r="N383" s="115" t="n"/>
      <c r="O383" s="6" t="n"/>
    </row>
    <row r="384">
      <c r="A384" s="112" t="n"/>
      <c r="B384" s="4" t="n"/>
      <c r="C384" s="4" t="n"/>
      <c r="D384" s="7" t="n"/>
      <c r="E384" s="7" t="n"/>
      <c r="F384" s="8">
        <f>IF(ISBLANK(B384),"",IF(I384="L","Baixa",IF(I384="A","Média",IF(I384="","","Alta"))))</f>
        <v/>
      </c>
      <c r="G384" s="7">
        <f>CONCATENATE(B384,I384)</f>
        <v/>
      </c>
      <c r="H384" s="5">
        <f>IF(ISBLANK(B384),"",IF(B384="ALI",IF(I384="L",7,IF(I384="A",10,15)),IF(B384="AIE",IF(I384="L",5,IF(I384="A",7,10)),IF(B384="SE",IF(I384="L",4,IF(I384="A",5,7)),IF(OR(B384="EE",B384="CE"),IF(I384="L",3,IF(I384="A",4,6)),0)))))</f>
        <v/>
      </c>
      <c r="I384" s="110">
        <f>IF(OR(ISBLANK(D384),ISBLANK(E384)),IF(OR(B384="ALI",B384="AIE"),"L",IF(OR(B384="EE",B384="SE",B384="CE"),"A","")),IF(B384="EE",IF(E384&gt;=3,IF(D384&gt;=5,"H","A"),IF(E384&gt;=2,IF(D384&gt;=16,"H",IF(D384&lt;=4,"L","A")),IF(D384&lt;=15,"L","A"))),IF(OR(B384="SE",B384="CE"),IF(E384&gt;=4,IF(D384&gt;=6,"H","A"),IF(E384&gt;=2,IF(D384&gt;=20,"H",IF(D384&lt;=5,"L","A")),IF(D384&lt;=19,"L","A"))),IF(OR(B384="ALI",B384="AIE"),IF(E384&gt;=6,IF(D384&gt;=20,"H","A"),IF(E384&gt;=2,IF(D384&gt;=51,"H",IF(D384&lt;=19,"L","A")),IF(D384&lt;=50,"L","A"))),""))))</f>
        <v/>
      </c>
      <c r="J384" s="7">
        <f>CONCATENATE(B384,C384)</f>
        <v/>
      </c>
      <c r="K384" s="9">
        <f>IF(OR(H384="",H384=0),L384,H384)</f>
        <v/>
      </c>
      <c r="L384" s="9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 t="n"/>
      <c r="N384" s="115" t="n"/>
      <c r="O384" s="6" t="n"/>
    </row>
    <row r="385">
      <c r="A385" s="112" t="n"/>
      <c r="B385" s="4" t="n"/>
      <c r="C385" s="4" t="n"/>
      <c r="D385" s="7" t="n"/>
      <c r="E385" s="7" t="n"/>
      <c r="F385" s="8">
        <f>IF(ISBLANK(B385),"",IF(I385="L","Baixa",IF(I385="A","Média",IF(I385="","","Alta"))))</f>
        <v/>
      </c>
      <c r="G385" s="7">
        <f>CONCATENATE(B385,I385)</f>
        <v/>
      </c>
      <c r="H385" s="5">
        <f>IF(ISBLANK(B385),"",IF(B385="ALI",IF(I385="L",7,IF(I385="A",10,15)),IF(B385="AIE",IF(I385="L",5,IF(I385="A",7,10)),IF(B385="SE",IF(I385="L",4,IF(I385="A",5,7)),IF(OR(B385="EE",B385="CE"),IF(I385="L",3,IF(I385="A",4,6)),0)))))</f>
        <v/>
      </c>
      <c r="I385" s="110">
        <f>IF(OR(ISBLANK(D385),ISBLANK(E385)),IF(OR(B385="ALI",B385="AIE"),"L",IF(OR(B385="EE",B385="SE",B385="CE"),"A","")),IF(B385="EE",IF(E385&gt;=3,IF(D385&gt;=5,"H","A"),IF(E385&gt;=2,IF(D385&gt;=16,"H",IF(D385&lt;=4,"L","A")),IF(D385&lt;=15,"L","A"))),IF(OR(B385="SE",B385="CE"),IF(E385&gt;=4,IF(D385&gt;=6,"H","A"),IF(E385&gt;=2,IF(D385&gt;=20,"H",IF(D385&lt;=5,"L","A")),IF(D385&lt;=19,"L","A"))),IF(OR(B385="ALI",B385="AIE"),IF(E385&gt;=6,IF(D385&gt;=20,"H","A"),IF(E385&gt;=2,IF(D385&gt;=51,"H",IF(D385&lt;=19,"L","A")),IF(D385&lt;=50,"L","A"))),""))))</f>
        <v/>
      </c>
      <c r="J385" s="7">
        <f>CONCATENATE(B385,C385)</f>
        <v/>
      </c>
      <c r="K385" s="9">
        <f>IF(OR(H385="",H385=0),L385,H385)</f>
        <v/>
      </c>
      <c r="L385" s="9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 t="n"/>
      <c r="N385" s="115" t="n"/>
      <c r="O385" s="6" t="n"/>
    </row>
    <row r="386">
      <c r="A386" s="112" t="n"/>
      <c r="B386" s="4" t="n"/>
      <c r="C386" s="4" t="n"/>
      <c r="D386" s="7" t="n"/>
      <c r="E386" s="7" t="n"/>
      <c r="F386" s="8">
        <f>IF(ISBLANK(B386),"",IF(I386="L","Baixa",IF(I386="A","Média",IF(I386="","","Alta"))))</f>
        <v/>
      </c>
      <c r="G386" s="7">
        <f>CONCATENATE(B386,I386)</f>
        <v/>
      </c>
      <c r="H386" s="5">
        <f>IF(ISBLANK(B386),"",IF(B386="ALI",IF(I386="L",7,IF(I386="A",10,15)),IF(B386="AIE",IF(I386="L",5,IF(I386="A",7,10)),IF(B386="SE",IF(I386="L",4,IF(I386="A",5,7)),IF(OR(B386="EE",B386="CE"),IF(I386="L",3,IF(I386="A",4,6)),0)))))</f>
        <v/>
      </c>
      <c r="I386" s="110">
        <f>IF(OR(ISBLANK(D386),ISBLANK(E386)),IF(OR(B386="ALI",B386="AIE"),"L",IF(OR(B386="EE",B386="SE",B386="CE"),"A","")),IF(B386="EE",IF(E386&gt;=3,IF(D386&gt;=5,"H","A"),IF(E386&gt;=2,IF(D386&gt;=16,"H",IF(D386&lt;=4,"L","A")),IF(D386&lt;=15,"L","A"))),IF(OR(B386="SE",B386="CE"),IF(E386&gt;=4,IF(D386&gt;=6,"H","A"),IF(E386&gt;=2,IF(D386&gt;=20,"H",IF(D386&lt;=5,"L","A")),IF(D386&lt;=19,"L","A"))),IF(OR(B386="ALI",B386="AIE"),IF(E386&gt;=6,IF(D386&gt;=20,"H","A"),IF(E386&gt;=2,IF(D386&gt;=51,"H",IF(D386&lt;=19,"L","A")),IF(D386&lt;=50,"L","A"))),""))))</f>
        <v/>
      </c>
      <c r="J386" s="7">
        <f>CONCATENATE(B386,C386)</f>
        <v/>
      </c>
      <c r="K386" s="9">
        <f>IF(OR(H386="",H386=0),L386,H386)</f>
        <v/>
      </c>
      <c r="L386" s="9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 t="n"/>
      <c r="N386" s="115" t="n"/>
      <c r="O386" s="6" t="n"/>
    </row>
    <row r="387">
      <c r="A387" s="112" t="n"/>
      <c r="B387" s="4" t="n"/>
      <c r="C387" s="4" t="n"/>
      <c r="D387" s="7" t="n"/>
      <c r="E387" s="7" t="n"/>
      <c r="F387" s="8">
        <f>IF(ISBLANK(B387),"",IF(I387="L","Baixa",IF(I387="A","Média",IF(I387="","","Alta"))))</f>
        <v/>
      </c>
      <c r="G387" s="7">
        <f>CONCATENATE(B387,I387)</f>
        <v/>
      </c>
      <c r="H387" s="5">
        <f>IF(ISBLANK(B387),"",IF(B387="ALI",IF(I387="L",7,IF(I387="A",10,15)),IF(B387="AIE",IF(I387="L",5,IF(I387="A",7,10)),IF(B387="SE",IF(I387="L",4,IF(I387="A",5,7)),IF(OR(B387="EE",B387="CE"),IF(I387="L",3,IF(I387="A",4,6)),0)))))</f>
        <v/>
      </c>
      <c r="I387" s="110">
        <f>IF(OR(ISBLANK(D387),ISBLANK(E387)),IF(OR(B387="ALI",B387="AIE"),"L",IF(OR(B387="EE",B387="SE",B387="CE"),"A","")),IF(B387="EE",IF(E387&gt;=3,IF(D387&gt;=5,"H","A"),IF(E387&gt;=2,IF(D387&gt;=16,"H",IF(D387&lt;=4,"L","A")),IF(D387&lt;=15,"L","A"))),IF(OR(B387="SE",B387="CE"),IF(E387&gt;=4,IF(D387&gt;=6,"H","A"),IF(E387&gt;=2,IF(D387&gt;=20,"H",IF(D387&lt;=5,"L","A")),IF(D387&lt;=19,"L","A"))),IF(OR(B387="ALI",B387="AIE"),IF(E387&gt;=6,IF(D387&gt;=20,"H","A"),IF(E387&gt;=2,IF(D387&gt;=51,"H",IF(D387&lt;=19,"L","A")),IF(D387&lt;=50,"L","A"))),""))))</f>
        <v/>
      </c>
      <c r="J387" s="7">
        <f>CONCATENATE(B387,C387)</f>
        <v/>
      </c>
      <c r="K387" s="9">
        <f>IF(OR(H387="",H387=0),L387,H387)</f>
        <v/>
      </c>
      <c r="L387" s="9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 t="n"/>
      <c r="N387" s="115" t="n"/>
      <c r="O387" s="6" t="n"/>
    </row>
    <row r="388">
      <c r="A388" s="112" t="n"/>
      <c r="B388" s="4" t="n"/>
      <c r="C388" s="4" t="n"/>
      <c r="D388" s="7" t="n"/>
      <c r="E388" s="7" t="n"/>
      <c r="F388" s="8">
        <f>IF(ISBLANK(B388),"",IF(I388="L","Baixa",IF(I388="A","Média",IF(I388="","","Alta"))))</f>
        <v/>
      </c>
      <c r="G388" s="7">
        <f>CONCATENATE(B388,I388)</f>
        <v/>
      </c>
      <c r="H388" s="5">
        <f>IF(ISBLANK(B388),"",IF(B388="ALI",IF(I388="L",7,IF(I388="A",10,15)),IF(B388="AIE",IF(I388="L",5,IF(I388="A",7,10)),IF(B388="SE",IF(I388="L",4,IF(I388="A",5,7)),IF(OR(B388="EE",B388="CE"),IF(I388="L",3,IF(I388="A",4,6)),0)))))</f>
        <v/>
      </c>
      <c r="I388" s="110">
        <f>IF(OR(ISBLANK(D388),ISBLANK(E388)),IF(OR(B388="ALI",B388="AIE"),"L",IF(OR(B388="EE",B388="SE",B388="CE"),"A","")),IF(B388="EE",IF(E388&gt;=3,IF(D388&gt;=5,"H","A"),IF(E388&gt;=2,IF(D388&gt;=16,"H",IF(D388&lt;=4,"L","A")),IF(D388&lt;=15,"L","A"))),IF(OR(B388="SE",B388="CE"),IF(E388&gt;=4,IF(D388&gt;=6,"H","A"),IF(E388&gt;=2,IF(D388&gt;=20,"H",IF(D388&lt;=5,"L","A")),IF(D388&lt;=19,"L","A"))),IF(OR(B388="ALI",B388="AIE"),IF(E388&gt;=6,IF(D388&gt;=20,"H","A"),IF(E388&gt;=2,IF(D388&gt;=51,"H",IF(D388&lt;=19,"L","A")),IF(D388&lt;=50,"L","A"))),""))))</f>
        <v/>
      </c>
      <c r="J388" s="7">
        <f>CONCATENATE(B388,C388)</f>
        <v/>
      </c>
      <c r="K388" s="9">
        <f>IF(OR(H388="",H388=0),L388,H388)</f>
        <v/>
      </c>
      <c r="L388" s="9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 t="n"/>
      <c r="N388" s="115" t="n"/>
      <c r="O388" s="6" t="n"/>
    </row>
    <row r="389">
      <c r="A389" s="112" t="n"/>
      <c r="B389" s="4" t="n"/>
      <c r="C389" s="4" t="n"/>
      <c r="D389" s="7" t="n"/>
      <c r="E389" s="7" t="n"/>
      <c r="F389" s="8">
        <f>IF(ISBLANK(B389),"",IF(I389="L","Baixa",IF(I389="A","Média",IF(I389="","","Alta"))))</f>
        <v/>
      </c>
      <c r="G389" s="7">
        <f>CONCATENATE(B389,I389)</f>
        <v/>
      </c>
      <c r="H389" s="5">
        <f>IF(ISBLANK(B389),"",IF(B389="ALI",IF(I389="L",7,IF(I389="A",10,15)),IF(B389="AIE",IF(I389="L",5,IF(I389="A",7,10)),IF(B389="SE",IF(I389="L",4,IF(I389="A",5,7)),IF(OR(B389="EE",B389="CE"),IF(I389="L",3,IF(I389="A",4,6)),0)))))</f>
        <v/>
      </c>
      <c r="I389" s="110">
        <f>IF(OR(ISBLANK(D389),ISBLANK(E389)),IF(OR(B389="ALI",B389="AIE"),"L",IF(OR(B389="EE",B389="SE",B389="CE"),"A","")),IF(B389="EE",IF(E389&gt;=3,IF(D389&gt;=5,"H","A"),IF(E389&gt;=2,IF(D389&gt;=16,"H",IF(D389&lt;=4,"L","A")),IF(D389&lt;=15,"L","A"))),IF(OR(B389="SE",B389="CE"),IF(E389&gt;=4,IF(D389&gt;=6,"H","A"),IF(E389&gt;=2,IF(D389&gt;=20,"H",IF(D389&lt;=5,"L","A")),IF(D389&lt;=19,"L","A"))),IF(OR(B389="ALI",B389="AIE"),IF(E389&gt;=6,IF(D389&gt;=20,"H","A"),IF(E389&gt;=2,IF(D389&gt;=51,"H",IF(D389&lt;=19,"L","A")),IF(D389&lt;=50,"L","A"))),""))))</f>
        <v/>
      </c>
      <c r="J389" s="7">
        <f>CONCATENATE(B389,C389)</f>
        <v/>
      </c>
      <c r="K389" s="9">
        <f>IF(OR(H389="",H389=0),L389,H389)</f>
        <v/>
      </c>
      <c r="L389" s="9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 t="n"/>
      <c r="N389" s="115" t="n"/>
      <c r="O389" s="6" t="n"/>
    </row>
    <row r="390">
      <c r="A390" s="112" t="n"/>
      <c r="B390" s="4" t="n"/>
      <c r="C390" s="4" t="n"/>
      <c r="D390" s="7" t="n"/>
      <c r="E390" s="7" t="n"/>
      <c r="F390" s="8">
        <f>IF(ISBLANK(B390),"",IF(I390="L","Baixa",IF(I390="A","Média",IF(I390="","","Alta"))))</f>
        <v/>
      </c>
      <c r="G390" s="7">
        <f>CONCATENATE(B390,I390)</f>
        <v/>
      </c>
      <c r="H390" s="5">
        <f>IF(ISBLANK(B390),"",IF(B390="ALI",IF(I390="L",7,IF(I390="A",10,15)),IF(B390="AIE",IF(I390="L",5,IF(I390="A",7,10)),IF(B390="SE",IF(I390="L",4,IF(I390="A",5,7)),IF(OR(B390="EE",B390="CE"),IF(I390="L",3,IF(I390="A",4,6)),0)))))</f>
        <v/>
      </c>
      <c r="I390" s="110">
        <f>IF(OR(ISBLANK(D390),ISBLANK(E390)),IF(OR(B390="ALI",B390="AIE"),"L",IF(OR(B390="EE",B390="SE",B390="CE"),"A","")),IF(B390="EE",IF(E390&gt;=3,IF(D390&gt;=5,"H","A"),IF(E390&gt;=2,IF(D390&gt;=16,"H",IF(D390&lt;=4,"L","A")),IF(D390&lt;=15,"L","A"))),IF(OR(B390="SE",B390="CE"),IF(E390&gt;=4,IF(D390&gt;=6,"H","A"),IF(E390&gt;=2,IF(D390&gt;=20,"H",IF(D390&lt;=5,"L","A")),IF(D390&lt;=19,"L","A"))),IF(OR(B390="ALI",B390="AIE"),IF(E390&gt;=6,IF(D390&gt;=20,"H","A"),IF(E390&gt;=2,IF(D390&gt;=51,"H",IF(D390&lt;=19,"L","A")),IF(D390&lt;=50,"L","A"))),""))))</f>
        <v/>
      </c>
      <c r="J390" s="7">
        <f>CONCATENATE(B390,C390)</f>
        <v/>
      </c>
      <c r="K390" s="9">
        <f>IF(OR(H390="",H390=0),L390,H390)</f>
        <v/>
      </c>
      <c r="L390" s="9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 t="n"/>
      <c r="N390" s="115" t="n"/>
      <c r="O390" s="6" t="n"/>
    </row>
    <row r="391">
      <c r="A391" s="112" t="n"/>
      <c r="B391" s="4" t="n"/>
      <c r="C391" s="4" t="n"/>
      <c r="D391" s="7" t="n"/>
      <c r="E391" s="7" t="n"/>
      <c r="F391" s="8">
        <f>IF(ISBLANK(B391),"",IF(I391="L","Baixa",IF(I391="A","Média",IF(I391="","","Alta"))))</f>
        <v/>
      </c>
      <c r="G391" s="7">
        <f>CONCATENATE(B391,I391)</f>
        <v/>
      </c>
      <c r="H391" s="5">
        <f>IF(ISBLANK(B391),"",IF(B391="ALI",IF(I391="L",7,IF(I391="A",10,15)),IF(B391="AIE",IF(I391="L",5,IF(I391="A",7,10)),IF(B391="SE",IF(I391="L",4,IF(I391="A",5,7)),IF(OR(B391="EE",B391="CE"),IF(I391="L",3,IF(I391="A",4,6)),0)))))</f>
        <v/>
      </c>
      <c r="I391" s="110">
        <f>IF(OR(ISBLANK(D391),ISBLANK(E391)),IF(OR(B391="ALI",B391="AIE"),"L",IF(OR(B391="EE",B391="SE",B391="CE"),"A","")),IF(B391="EE",IF(E391&gt;=3,IF(D391&gt;=5,"H","A"),IF(E391&gt;=2,IF(D391&gt;=16,"H",IF(D391&lt;=4,"L","A")),IF(D391&lt;=15,"L","A"))),IF(OR(B391="SE",B391="CE"),IF(E391&gt;=4,IF(D391&gt;=6,"H","A"),IF(E391&gt;=2,IF(D391&gt;=20,"H",IF(D391&lt;=5,"L","A")),IF(D391&lt;=19,"L","A"))),IF(OR(B391="ALI",B391="AIE"),IF(E391&gt;=6,IF(D391&gt;=20,"H","A"),IF(E391&gt;=2,IF(D391&gt;=51,"H",IF(D391&lt;=19,"L","A")),IF(D391&lt;=50,"L","A"))),""))))</f>
        <v/>
      </c>
      <c r="J391" s="7">
        <f>CONCATENATE(B391,C391)</f>
        <v/>
      </c>
      <c r="K391" s="9">
        <f>IF(OR(H391="",H391=0),L391,H391)</f>
        <v/>
      </c>
      <c r="L391" s="9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 t="n"/>
      <c r="N391" s="115" t="n"/>
      <c r="O391" s="6" t="n"/>
    </row>
    <row r="392">
      <c r="A392" s="112" t="n"/>
      <c r="B392" s="4" t="n"/>
      <c r="C392" s="4" t="n"/>
      <c r="D392" s="7" t="n"/>
      <c r="E392" s="7" t="n"/>
      <c r="F392" s="8">
        <f>IF(ISBLANK(B392),"",IF(I392="L","Baixa",IF(I392="A","Média",IF(I392="","","Alta"))))</f>
        <v/>
      </c>
      <c r="G392" s="7">
        <f>CONCATENATE(B392,I392)</f>
        <v/>
      </c>
      <c r="H392" s="5">
        <f>IF(ISBLANK(B392),"",IF(B392="ALI",IF(I392="L",7,IF(I392="A",10,15)),IF(B392="AIE",IF(I392="L",5,IF(I392="A",7,10)),IF(B392="SE",IF(I392="L",4,IF(I392="A",5,7)),IF(OR(B392="EE",B392="CE"),IF(I392="L",3,IF(I392="A",4,6)),0)))))</f>
        <v/>
      </c>
      <c r="I392" s="110">
        <f>IF(OR(ISBLANK(D392),ISBLANK(E392)),IF(OR(B392="ALI",B392="AIE"),"L",IF(OR(B392="EE",B392="SE",B392="CE"),"A","")),IF(B392="EE",IF(E392&gt;=3,IF(D392&gt;=5,"H","A"),IF(E392&gt;=2,IF(D392&gt;=16,"H",IF(D392&lt;=4,"L","A")),IF(D392&lt;=15,"L","A"))),IF(OR(B392="SE",B392="CE"),IF(E392&gt;=4,IF(D392&gt;=6,"H","A"),IF(E392&gt;=2,IF(D392&gt;=20,"H",IF(D392&lt;=5,"L","A")),IF(D392&lt;=19,"L","A"))),IF(OR(B392="ALI",B392="AIE"),IF(E392&gt;=6,IF(D392&gt;=20,"H","A"),IF(E392&gt;=2,IF(D392&gt;=51,"H",IF(D392&lt;=19,"L","A")),IF(D392&lt;=50,"L","A"))),""))))</f>
        <v/>
      </c>
      <c r="J392" s="7">
        <f>CONCATENATE(B392,C392)</f>
        <v/>
      </c>
      <c r="K392" s="9">
        <f>IF(OR(H392="",H392=0),L392,H392)</f>
        <v/>
      </c>
      <c r="L392" s="9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 t="n"/>
      <c r="N392" s="115" t="n"/>
      <c r="O392" s="6" t="n"/>
    </row>
    <row r="393">
      <c r="A393" s="112" t="n"/>
      <c r="B393" s="4" t="n"/>
      <c r="C393" s="4" t="n"/>
      <c r="D393" s="7" t="n"/>
      <c r="E393" s="7" t="n"/>
      <c r="F393" s="8">
        <f>IF(ISBLANK(B393),"",IF(I393="L","Baixa",IF(I393="A","Média",IF(I393="","","Alta"))))</f>
        <v/>
      </c>
      <c r="G393" s="7">
        <f>CONCATENATE(B393,I393)</f>
        <v/>
      </c>
      <c r="H393" s="5">
        <f>IF(ISBLANK(B393),"",IF(B393="ALI",IF(I393="L",7,IF(I393="A",10,15)),IF(B393="AIE",IF(I393="L",5,IF(I393="A",7,10)),IF(B393="SE",IF(I393="L",4,IF(I393="A",5,7)),IF(OR(B393="EE",B393="CE"),IF(I393="L",3,IF(I393="A",4,6)),0)))))</f>
        <v/>
      </c>
      <c r="I393" s="110">
        <f>IF(OR(ISBLANK(D393),ISBLANK(E393)),IF(OR(B393="ALI",B393="AIE"),"L",IF(OR(B393="EE",B393="SE",B393="CE"),"A","")),IF(B393="EE",IF(E393&gt;=3,IF(D393&gt;=5,"H","A"),IF(E393&gt;=2,IF(D393&gt;=16,"H",IF(D393&lt;=4,"L","A")),IF(D393&lt;=15,"L","A"))),IF(OR(B393="SE",B393="CE"),IF(E393&gt;=4,IF(D393&gt;=6,"H","A"),IF(E393&gt;=2,IF(D393&gt;=20,"H",IF(D393&lt;=5,"L","A")),IF(D393&lt;=19,"L","A"))),IF(OR(B393="ALI",B393="AIE"),IF(E393&gt;=6,IF(D393&gt;=20,"H","A"),IF(E393&gt;=2,IF(D393&gt;=51,"H",IF(D393&lt;=19,"L","A")),IF(D393&lt;=50,"L","A"))),""))))</f>
        <v/>
      </c>
      <c r="J393" s="7">
        <f>CONCATENATE(B393,C393)</f>
        <v/>
      </c>
      <c r="K393" s="9">
        <f>IF(OR(H393="",H393=0),L393,H393)</f>
        <v/>
      </c>
      <c r="L393" s="9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 t="n"/>
      <c r="N393" s="115" t="n"/>
      <c r="O393" s="6" t="n"/>
    </row>
    <row r="394">
      <c r="A394" s="112" t="n"/>
      <c r="B394" s="4" t="n"/>
      <c r="C394" s="4" t="n"/>
      <c r="D394" s="7" t="n"/>
      <c r="E394" s="7" t="n"/>
      <c r="F394" s="8">
        <f>IF(ISBLANK(B394),"",IF(I394="L","Baixa",IF(I394="A","Média",IF(I394="","","Alta"))))</f>
        <v/>
      </c>
      <c r="G394" s="7">
        <f>CONCATENATE(B394,I394)</f>
        <v/>
      </c>
      <c r="H394" s="5">
        <f>IF(ISBLANK(B394),"",IF(B394="ALI",IF(I394="L",7,IF(I394="A",10,15)),IF(B394="AIE",IF(I394="L",5,IF(I394="A",7,10)),IF(B394="SE",IF(I394="L",4,IF(I394="A",5,7)),IF(OR(B394="EE",B394="CE"),IF(I394="L",3,IF(I394="A",4,6)),0)))))</f>
        <v/>
      </c>
      <c r="I394" s="110">
        <f>IF(OR(ISBLANK(D394),ISBLANK(E394)),IF(OR(B394="ALI",B394="AIE"),"L",IF(OR(B394="EE",B394="SE",B394="CE"),"A","")),IF(B394="EE",IF(E394&gt;=3,IF(D394&gt;=5,"H","A"),IF(E394&gt;=2,IF(D394&gt;=16,"H",IF(D394&lt;=4,"L","A")),IF(D394&lt;=15,"L","A"))),IF(OR(B394="SE",B394="CE"),IF(E394&gt;=4,IF(D394&gt;=6,"H","A"),IF(E394&gt;=2,IF(D394&gt;=20,"H",IF(D394&lt;=5,"L","A")),IF(D394&lt;=19,"L","A"))),IF(OR(B394="ALI",B394="AIE"),IF(E394&gt;=6,IF(D394&gt;=20,"H","A"),IF(E394&gt;=2,IF(D394&gt;=51,"H",IF(D394&lt;=19,"L","A")),IF(D394&lt;=50,"L","A"))),""))))</f>
        <v/>
      </c>
      <c r="J394" s="7">
        <f>CONCATENATE(B394,C394)</f>
        <v/>
      </c>
      <c r="K394" s="9">
        <f>IF(OR(H394="",H394=0),L394,H394)</f>
        <v/>
      </c>
      <c r="L394" s="9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 t="n"/>
      <c r="N394" s="115" t="n"/>
      <c r="O394" s="6" t="n"/>
    </row>
    <row r="395">
      <c r="A395" s="112" t="n"/>
      <c r="B395" s="4" t="n"/>
      <c r="C395" s="4" t="n"/>
      <c r="D395" s="7" t="n"/>
      <c r="E395" s="7" t="n"/>
      <c r="F395" s="8">
        <f>IF(ISBLANK(B395),"",IF(I395="L","Baixa",IF(I395="A","Média",IF(I395="","","Alta"))))</f>
        <v/>
      </c>
      <c r="G395" s="7">
        <f>CONCATENATE(B395,I395)</f>
        <v/>
      </c>
      <c r="H395" s="5">
        <f>IF(ISBLANK(B395),"",IF(B395="ALI",IF(I395="L",7,IF(I395="A",10,15)),IF(B395="AIE",IF(I395="L",5,IF(I395="A",7,10)),IF(B395="SE",IF(I395="L",4,IF(I395="A",5,7)),IF(OR(B395="EE",B395="CE"),IF(I395="L",3,IF(I395="A",4,6)),0)))))</f>
        <v/>
      </c>
      <c r="I395" s="110">
        <f>IF(OR(ISBLANK(D395),ISBLANK(E395)),IF(OR(B395="ALI",B395="AIE"),"L",IF(OR(B395="EE",B395="SE",B395="CE"),"A","")),IF(B395="EE",IF(E395&gt;=3,IF(D395&gt;=5,"H","A"),IF(E395&gt;=2,IF(D395&gt;=16,"H",IF(D395&lt;=4,"L","A")),IF(D395&lt;=15,"L","A"))),IF(OR(B395="SE",B395="CE"),IF(E395&gt;=4,IF(D395&gt;=6,"H","A"),IF(E395&gt;=2,IF(D395&gt;=20,"H",IF(D395&lt;=5,"L","A")),IF(D395&lt;=19,"L","A"))),IF(OR(B395="ALI",B395="AIE"),IF(E395&gt;=6,IF(D395&gt;=20,"H","A"),IF(E395&gt;=2,IF(D395&gt;=51,"H",IF(D395&lt;=19,"L","A")),IF(D395&lt;=50,"L","A"))),""))))</f>
        <v/>
      </c>
      <c r="J395" s="7">
        <f>CONCATENATE(B395,C395)</f>
        <v/>
      </c>
      <c r="K395" s="9">
        <f>IF(OR(H395="",H395=0),L395,H395)</f>
        <v/>
      </c>
      <c r="L395" s="9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 t="n"/>
      <c r="N395" s="115" t="n"/>
      <c r="O395" s="6" t="n"/>
    </row>
    <row r="396">
      <c r="A396" s="112" t="n"/>
      <c r="B396" s="4" t="n"/>
      <c r="C396" s="4" t="n"/>
      <c r="D396" s="7" t="n"/>
      <c r="E396" s="7" t="n"/>
      <c r="F396" s="8">
        <f>IF(ISBLANK(B396),"",IF(I396="L","Baixa",IF(I396="A","Média",IF(I396="","","Alta"))))</f>
        <v/>
      </c>
      <c r="G396" s="7">
        <f>CONCATENATE(B396,I396)</f>
        <v/>
      </c>
      <c r="H396" s="5">
        <f>IF(ISBLANK(B396),"",IF(B396="ALI",IF(I396="L",7,IF(I396="A",10,15)),IF(B396="AIE",IF(I396="L",5,IF(I396="A",7,10)),IF(B396="SE",IF(I396="L",4,IF(I396="A",5,7)),IF(OR(B396="EE",B396="CE"),IF(I396="L",3,IF(I396="A",4,6)),0)))))</f>
        <v/>
      </c>
      <c r="I396" s="110">
        <f>IF(OR(ISBLANK(D396),ISBLANK(E396)),IF(OR(B396="ALI",B396="AIE"),"L",IF(OR(B396="EE",B396="SE",B396="CE"),"A","")),IF(B396="EE",IF(E396&gt;=3,IF(D396&gt;=5,"H","A"),IF(E396&gt;=2,IF(D396&gt;=16,"H",IF(D396&lt;=4,"L","A")),IF(D396&lt;=15,"L","A"))),IF(OR(B396="SE",B396="CE"),IF(E396&gt;=4,IF(D396&gt;=6,"H","A"),IF(E396&gt;=2,IF(D396&gt;=20,"H",IF(D396&lt;=5,"L","A")),IF(D396&lt;=19,"L","A"))),IF(OR(B396="ALI",B396="AIE"),IF(E396&gt;=6,IF(D396&gt;=20,"H","A"),IF(E396&gt;=2,IF(D396&gt;=51,"H",IF(D396&lt;=19,"L","A")),IF(D396&lt;=50,"L","A"))),""))))</f>
        <v/>
      </c>
      <c r="J396" s="7">
        <f>CONCATENATE(B396,C396)</f>
        <v/>
      </c>
      <c r="K396" s="9">
        <f>IF(OR(H396="",H396=0),L396,H396)</f>
        <v/>
      </c>
      <c r="L396" s="9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 t="n"/>
      <c r="N396" s="115" t="n"/>
      <c r="O396" s="6" t="n"/>
    </row>
    <row r="397">
      <c r="A397" s="112" t="n"/>
      <c r="B397" s="4" t="n"/>
      <c r="C397" s="4" t="n"/>
      <c r="D397" s="7" t="n"/>
      <c r="E397" s="7" t="n"/>
      <c r="F397" s="8">
        <f>IF(ISBLANK(B397),"",IF(I397="L","Baixa",IF(I397="A","Média",IF(I397="","","Alta"))))</f>
        <v/>
      </c>
      <c r="G397" s="7">
        <f>CONCATENATE(B397,I397)</f>
        <v/>
      </c>
      <c r="H397" s="5">
        <f>IF(ISBLANK(B397),"",IF(B397="ALI",IF(I397="L",7,IF(I397="A",10,15)),IF(B397="AIE",IF(I397="L",5,IF(I397="A",7,10)),IF(B397="SE",IF(I397="L",4,IF(I397="A",5,7)),IF(OR(B397="EE",B397="CE"),IF(I397="L",3,IF(I397="A",4,6)),0)))))</f>
        <v/>
      </c>
      <c r="I397" s="110">
        <f>IF(OR(ISBLANK(D397),ISBLANK(E397)),IF(OR(B397="ALI",B397="AIE"),"L",IF(OR(B397="EE",B397="SE",B397="CE"),"A","")),IF(B397="EE",IF(E397&gt;=3,IF(D397&gt;=5,"H","A"),IF(E397&gt;=2,IF(D397&gt;=16,"H",IF(D397&lt;=4,"L","A")),IF(D397&lt;=15,"L","A"))),IF(OR(B397="SE",B397="CE"),IF(E397&gt;=4,IF(D397&gt;=6,"H","A"),IF(E397&gt;=2,IF(D397&gt;=20,"H",IF(D397&lt;=5,"L","A")),IF(D397&lt;=19,"L","A"))),IF(OR(B397="ALI",B397="AIE"),IF(E397&gt;=6,IF(D397&gt;=20,"H","A"),IF(E397&gt;=2,IF(D397&gt;=51,"H",IF(D397&lt;=19,"L","A")),IF(D397&lt;=50,"L","A"))),""))))</f>
        <v/>
      </c>
      <c r="J397" s="7">
        <f>CONCATENATE(B397,C397)</f>
        <v/>
      </c>
      <c r="K397" s="9">
        <f>IF(OR(H397="",H397=0),L397,H397)</f>
        <v/>
      </c>
      <c r="L397" s="9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 t="n"/>
      <c r="N397" s="115" t="n"/>
      <c r="O397" s="6" t="n"/>
    </row>
    <row r="398">
      <c r="A398" s="112" t="n"/>
      <c r="B398" s="4" t="n"/>
      <c r="C398" s="4" t="n"/>
      <c r="D398" s="7" t="n"/>
      <c r="E398" s="7" t="n"/>
      <c r="F398" s="8">
        <f>IF(ISBLANK(B398),"",IF(I398="L","Baixa",IF(I398="A","Média",IF(I398="","","Alta"))))</f>
        <v/>
      </c>
      <c r="G398" s="7">
        <f>CONCATENATE(B398,I398)</f>
        <v/>
      </c>
      <c r="H398" s="5">
        <f>IF(ISBLANK(B398),"",IF(B398="ALI",IF(I398="L",7,IF(I398="A",10,15)),IF(B398="AIE",IF(I398="L",5,IF(I398="A",7,10)),IF(B398="SE",IF(I398="L",4,IF(I398="A",5,7)),IF(OR(B398="EE",B398="CE"),IF(I398="L",3,IF(I398="A",4,6)),0)))))</f>
        <v/>
      </c>
      <c r="I398" s="110">
        <f>IF(OR(ISBLANK(D398),ISBLANK(E398)),IF(OR(B398="ALI",B398="AIE"),"L",IF(OR(B398="EE",B398="SE",B398="CE"),"A","")),IF(B398="EE",IF(E398&gt;=3,IF(D398&gt;=5,"H","A"),IF(E398&gt;=2,IF(D398&gt;=16,"H",IF(D398&lt;=4,"L","A")),IF(D398&lt;=15,"L","A"))),IF(OR(B398="SE",B398="CE"),IF(E398&gt;=4,IF(D398&gt;=6,"H","A"),IF(E398&gt;=2,IF(D398&gt;=20,"H",IF(D398&lt;=5,"L","A")),IF(D398&lt;=19,"L","A"))),IF(OR(B398="ALI",B398="AIE"),IF(E398&gt;=6,IF(D398&gt;=20,"H","A"),IF(E398&gt;=2,IF(D398&gt;=51,"H",IF(D398&lt;=19,"L","A")),IF(D398&lt;=50,"L","A"))),""))))</f>
        <v/>
      </c>
      <c r="J398" s="7">
        <f>CONCATENATE(B398,C398)</f>
        <v/>
      </c>
      <c r="K398" s="9">
        <f>IF(OR(H398="",H398=0),L398,H398)</f>
        <v/>
      </c>
      <c r="L398" s="9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 t="n"/>
      <c r="N398" s="115" t="n"/>
      <c r="O398" s="6" t="n"/>
    </row>
    <row r="399">
      <c r="A399" s="112" t="n"/>
      <c r="B399" s="4" t="n"/>
      <c r="C399" s="4" t="n"/>
      <c r="D399" s="7" t="n"/>
      <c r="E399" s="7" t="n"/>
      <c r="F399" s="8">
        <f>IF(ISBLANK(B399),"",IF(I399="L","Baixa",IF(I399="A","Média",IF(I399="","","Alta"))))</f>
        <v/>
      </c>
      <c r="G399" s="7">
        <f>CONCATENATE(B399,I399)</f>
        <v/>
      </c>
      <c r="H399" s="5">
        <f>IF(ISBLANK(B399),"",IF(B399="ALI",IF(I399="L",7,IF(I399="A",10,15)),IF(B399="AIE",IF(I399="L",5,IF(I399="A",7,10)),IF(B399="SE",IF(I399="L",4,IF(I399="A",5,7)),IF(OR(B399="EE",B399="CE"),IF(I399="L",3,IF(I399="A",4,6)),0)))))</f>
        <v/>
      </c>
      <c r="I399" s="110">
        <f>IF(OR(ISBLANK(D399),ISBLANK(E399)),IF(OR(B399="ALI",B399="AIE"),"L",IF(OR(B399="EE",B399="SE",B399="CE"),"A","")),IF(B399="EE",IF(E399&gt;=3,IF(D399&gt;=5,"H","A"),IF(E399&gt;=2,IF(D399&gt;=16,"H",IF(D399&lt;=4,"L","A")),IF(D399&lt;=15,"L","A"))),IF(OR(B399="SE",B399="CE"),IF(E399&gt;=4,IF(D399&gt;=6,"H","A"),IF(E399&gt;=2,IF(D399&gt;=20,"H",IF(D399&lt;=5,"L","A")),IF(D399&lt;=19,"L","A"))),IF(OR(B399="ALI",B399="AIE"),IF(E399&gt;=6,IF(D399&gt;=20,"H","A"),IF(E399&gt;=2,IF(D399&gt;=51,"H",IF(D399&lt;=19,"L","A")),IF(D399&lt;=50,"L","A"))),""))))</f>
        <v/>
      </c>
      <c r="J399" s="7">
        <f>CONCATENATE(B399,C399)</f>
        <v/>
      </c>
      <c r="K399" s="9">
        <f>IF(OR(H399="",H399=0),L399,H399)</f>
        <v/>
      </c>
      <c r="L399" s="9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 t="n"/>
      <c r="N399" s="115" t="n"/>
      <c r="O399" s="6" t="n"/>
    </row>
    <row r="400">
      <c r="A400" s="112" t="n"/>
      <c r="B400" s="4" t="n"/>
      <c r="C400" s="4" t="n"/>
      <c r="D400" s="7" t="n"/>
      <c r="E400" s="7" t="n"/>
      <c r="F400" s="8">
        <f>IF(ISBLANK(B400),"",IF(I400="L","Baixa",IF(I400="A","Média",IF(I400="","","Alta"))))</f>
        <v/>
      </c>
      <c r="G400" s="7">
        <f>CONCATENATE(B400,I400)</f>
        <v/>
      </c>
      <c r="H400" s="5">
        <f>IF(ISBLANK(B400),"",IF(B400="ALI",IF(I400="L",7,IF(I400="A",10,15)),IF(B400="AIE",IF(I400="L",5,IF(I400="A",7,10)),IF(B400="SE",IF(I400="L",4,IF(I400="A",5,7)),IF(OR(B400="EE",B400="CE"),IF(I400="L",3,IF(I400="A",4,6)),0)))))</f>
        <v/>
      </c>
      <c r="I400" s="110">
        <f>IF(OR(ISBLANK(D400),ISBLANK(E400)),IF(OR(B400="ALI",B400="AIE"),"L",IF(OR(B400="EE",B400="SE",B400="CE"),"A","")),IF(B400="EE",IF(E400&gt;=3,IF(D400&gt;=5,"H","A"),IF(E400&gt;=2,IF(D400&gt;=16,"H",IF(D400&lt;=4,"L","A")),IF(D400&lt;=15,"L","A"))),IF(OR(B400="SE",B400="CE"),IF(E400&gt;=4,IF(D400&gt;=6,"H","A"),IF(E400&gt;=2,IF(D400&gt;=20,"H",IF(D400&lt;=5,"L","A")),IF(D400&lt;=19,"L","A"))),IF(OR(B400="ALI",B400="AIE"),IF(E400&gt;=6,IF(D400&gt;=20,"H","A"),IF(E400&gt;=2,IF(D400&gt;=51,"H",IF(D400&lt;=19,"L","A")),IF(D400&lt;=50,"L","A"))),""))))</f>
        <v/>
      </c>
      <c r="J400" s="7">
        <f>CONCATENATE(B400,C400)</f>
        <v/>
      </c>
      <c r="K400" s="9">
        <f>IF(OR(H400="",H400=0),L400,H400)</f>
        <v/>
      </c>
      <c r="L400" s="9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 t="n"/>
      <c r="N400" s="115" t="n"/>
      <c r="O400" s="6" t="n"/>
    </row>
    <row r="401">
      <c r="A401" s="112" t="n"/>
      <c r="B401" s="4" t="n"/>
      <c r="C401" s="4" t="n"/>
      <c r="D401" s="7" t="n"/>
      <c r="E401" s="7" t="n"/>
      <c r="F401" s="8">
        <f>IF(ISBLANK(B401),"",IF(I401="L","Baixa",IF(I401="A","Média",IF(I401="","","Alta"))))</f>
        <v/>
      </c>
      <c r="G401" s="7">
        <f>CONCATENATE(B401,I401)</f>
        <v/>
      </c>
      <c r="H401" s="5">
        <f>IF(ISBLANK(B401),"",IF(B401="ALI",IF(I401="L",7,IF(I401="A",10,15)),IF(B401="AIE",IF(I401="L",5,IF(I401="A",7,10)),IF(B401="SE",IF(I401="L",4,IF(I401="A",5,7)),IF(OR(B401="EE",B401="CE"),IF(I401="L",3,IF(I401="A",4,6)),0)))))</f>
        <v/>
      </c>
      <c r="I401" s="110">
        <f>IF(OR(ISBLANK(D401),ISBLANK(E401)),IF(OR(B401="ALI",B401="AIE"),"L",IF(OR(B401="EE",B401="SE",B401="CE"),"A","")),IF(B401="EE",IF(E401&gt;=3,IF(D401&gt;=5,"H","A"),IF(E401&gt;=2,IF(D401&gt;=16,"H",IF(D401&lt;=4,"L","A")),IF(D401&lt;=15,"L","A"))),IF(OR(B401="SE",B401="CE"),IF(E401&gt;=4,IF(D401&gt;=6,"H","A"),IF(E401&gt;=2,IF(D401&gt;=20,"H",IF(D401&lt;=5,"L","A")),IF(D401&lt;=19,"L","A"))),IF(OR(B401="ALI",B401="AIE"),IF(E401&gt;=6,IF(D401&gt;=20,"H","A"),IF(E401&gt;=2,IF(D401&gt;=51,"H",IF(D401&lt;=19,"L","A")),IF(D401&lt;=50,"L","A"))),""))))</f>
        <v/>
      </c>
      <c r="J401" s="7">
        <f>CONCATENATE(B401,C401)</f>
        <v/>
      </c>
      <c r="K401" s="9">
        <f>IF(OR(H401="",H401=0),L401,H401)</f>
        <v/>
      </c>
      <c r="L401" s="9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 t="n"/>
      <c r="N401" s="115" t="n"/>
      <c r="O401" s="6" t="n"/>
    </row>
    <row r="402">
      <c r="A402" s="112" t="n"/>
      <c r="B402" s="4" t="n"/>
      <c r="C402" s="4" t="n"/>
      <c r="D402" s="7" t="n"/>
      <c r="E402" s="7" t="n"/>
      <c r="F402" s="8">
        <f>IF(ISBLANK(B402),"",IF(I402="L","Baixa",IF(I402="A","Média",IF(I402="","","Alta"))))</f>
        <v/>
      </c>
      <c r="G402" s="7">
        <f>CONCATENATE(B402,I402)</f>
        <v/>
      </c>
      <c r="H402" s="5">
        <f>IF(ISBLANK(B402),"",IF(B402="ALI",IF(I402="L",7,IF(I402="A",10,15)),IF(B402="AIE",IF(I402="L",5,IF(I402="A",7,10)),IF(B402="SE",IF(I402="L",4,IF(I402="A",5,7)),IF(OR(B402="EE",B402="CE"),IF(I402="L",3,IF(I402="A",4,6)),0)))))</f>
        <v/>
      </c>
      <c r="I402" s="110">
        <f>IF(OR(ISBLANK(D402),ISBLANK(E402)),IF(OR(B402="ALI",B402="AIE"),"L",IF(OR(B402="EE",B402="SE",B402="CE"),"A","")),IF(B402="EE",IF(E402&gt;=3,IF(D402&gt;=5,"H","A"),IF(E402&gt;=2,IF(D402&gt;=16,"H",IF(D402&lt;=4,"L","A")),IF(D402&lt;=15,"L","A"))),IF(OR(B402="SE",B402="CE"),IF(E402&gt;=4,IF(D402&gt;=6,"H","A"),IF(E402&gt;=2,IF(D402&gt;=20,"H",IF(D402&lt;=5,"L","A")),IF(D402&lt;=19,"L","A"))),IF(OR(B402="ALI",B402="AIE"),IF(E402&gt;=6,IF(D402&gt;=20,"H","A"),IF(E402&gt;=2,IF(D402&gt;=51,"H",IF(D402&lt;=19,"L","A")),IF(D402&lt;=50,"L","A"))),""))))</f>
        <v/>
      </c>
      <c r="J402" s="7">
        <f>CONCATENATE(B402,C402)</f>
        <v/>
      </c>
      <c r="K402" s="9">
        <f>IF(OR(H402="",H402=0),L402,H402)</f>
        <v/>
      </c>
      <c r="L402" s="9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 t="n"/>
      <c r="N402" s="115" t="n"/>
      <c r="O402" s="6" t="n"/>
    </row>
    <row r="403">
      <c r="A403" s="112" t="n"/>
      <c r="B403" s="4" t="n"/>
      <c r="C403" s="4" t="n"/>
      <c r="D403" s="7" t="n"/>
      <c r="E403" s="7" t="n"/>
      <c r="F403" s="8">
        <f>IF(ISBLANK(B403),"",IF(I403="L","Baixa",IF(I403="A","Média",IF(I403="","","Alta"))))</f>
        <v/>
      </c>
      <c r="G403" s="7">
        <f>CONCATENATE(B403,I403)</f>
        <v/>
      </c>
      <c r="H403" s="5">
        <f>IF(ISBLANK(B403),"",IF(B403="ALI",IF(I403="L",7,IF(I403="A",10,15)),IF(B403="AIE",IF(I403="L",5,IF(I403="A",7,10)),IF(B403="SE",IF(I403="L",4,IF(I403="A",5,7)),IF(OR(B403="EE",B403="CE"),IF(I403="L",3,IF(I403="A",4,6)),0)))))</f>
        <v/>
      </c>
      <c r="I403" s="110">
        <f>IF(OR(ISBLANK(D403),ISBLANK(E403)),IF(OR(B403="ALI",B403="AIE"),"L",IF(OR(B403="EE",B403="SE",B403="CE"),"A","")),IF(B403="EE",IF(E403&gt;=3,IF(D403&gt;=5,"H","A"),IF(E403&gt;=2,IF(D403&gt;=16,"H",IF(D403&lt;=4,"L","A")),IF(D403&lt;=15,"L","A"))),IF(OR(B403="SE",B403="CE"),IF(E403&gt;=4,IF(D403&gt;=6,"H","A"),IF(E403&gt;=2,IF(D403&gt;=20,"H",IF(D403&lt;=5,"L","A")),IF(D403&lt;=19,"L","A"))),IF(OR(B403="ALI",B403="AIE"),IF(E403&gt;=6,IF(D403&gt;=20,"H","A"),IF(E403&gt;=2,IF(D403&gt;=51,"H",IF(D403&lt;=19,"L","A")),IF(D403&lt;=50,"L","A"))),""))))</f>
        <v/>
      </c>
      <c r="J403" s="7">
        <f>CONCATENATE(B403,C403)</f>
        <v/>
      </c>
      <c r="K403" s="9">
        <f>IF(OR(H403="",H403=0),L403,H403)</f>
        <v/>
      </c>
      <c r="L403" s="9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 t="n"/>
      <c r="N403" s="115" t="n"/>
      <c r="O403" s="6" t="n"/>
    </row>
    <row r="404">
      <c r="A404" s="112" t="n"/>
      <c r="B404" s="4" t="n"/>
      <c r="C404" s="4" t="n"/>
      <c r="D404" s="7" t="n"/>
      <c r="E404" s="7" t="n"/>
      <c r="F404" s="8">
        <f>IF(ISBLANK(B404),"",IF(I404="L","Baixa",IF(I404="A","Média",IF(I404="","","Alta"))))</f>
        <v/>
      </c>
      <c r="G404" s="7">
        <f>CONCATENATE(B404,I404)</f>
        <v/>
      </c>
      <c r="H404" s="5">
        <f>IF(ISBLANK(B404),"",IF(B404="ALI",IF(I404="L",7,IF(I404="A",10,15)),IF(B404="AIE",IF(I404="L",5,IF(I404="A",7,10)),IF(B404="SE",IF(I404="L",4,IF(I404="A",5,7)),IF(OR(B404="EE",B404="CE"),IF(I404="L",3,IF(I404="A",4,6)),0)))))</f>
        <v/>
      </c>
      <c r="I404" s="110">
        <f>IF(OR(ISBLANK(D404),ISBLANK(E404)),IF(OR(B404="ALI",B404="AIE"),"L",IF(OR(B404="EE",B404="SE",B404="CE"),"A","")),IF(B404="EE",IF(E404&gt;=3,IF(D404&gt;=5,"H","A"),IF(E404&gt;=2,IF(D404&gt;=16,"H",IF(D404&lt;=4,"L","A")),IF(D404&lt;=15,"L","A"))),IF(OR(B404="SE",B404="CE"),IF(E404&gt;=4,IF(D404&gt;=6,"H","A"),IF(E404&gt;=2,IF(D404&gt;=20,"H",IF(D404&lt;=5,"L","A")),IF(D404&lt;=19,"L","A"))),IF(OR(B404="ALI",B404="AIE"),IF(E404&gt;=6,IF(D404&gt;=20,"H","A"),IF(E404&gt;=2,IF(D404&gt;=51,"H",IF(D404&lt;=19,"L","A")),IF(D404&lt;=50,"L","A"))),""))))</f>
        <v/>
      </c>
      <c r="J404" s="7">
        <f>CONCATENATE(B404,C404)</f>
        <v/>
      </c>
      <c r="K404" s="9">
        <f>IF(OR(H404="",H404=0),L404,H404)</f>
        <v/>
      </c>
      <c r="L404" s="9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 t="n"/>
      <c r="N404" s="115" t="n"/>
      <c r="O404" s="6" t="n"/>
    </row>
    <row r="405">
      <c r="A405" s="112" t="n"/>
      <c r="B405" s="4" t="n"/>
      <c r="C405" s="4" t="n"/>
      <c r="D405" s="7" t="n"/>
      <c r="E405" s="7" t="n"/>
      <c r="F405" s="8">
        <f>IF(ISBLANK(B405),"",IF(I405="L","Baixa",IF(I405="A","Média",IF(I405="","","Alta"))))</f>
        <v/>
      </c>
      <c r="G405" s="7">
        <f>CONCATENATE(B405,I405)</f>
        <v/>
      </c>
      <c r="H405" s="5">
        <f>IF(ISBLANK(B405),"",IF(B405="ALI",IF(I405="L",7,IF(I405="A",10,15)),IF(B405="AIE",IF(I405="L",5,IF(I405="A",7,10)),IF(B405="SE",IF(I405="L",4,IF(I405="A",5,7)),IF(OR(B405="EE",B405="CE"),IF(I405="L",3,IF(I405="A",4,6)),0)))))</f>
        <v/>
      </c>
      <c r="I405" s="110">
        <f>IF(OR(ISBLANK(D405),ISBLANK(E405)),IF(OR(B405="ALI",B405="AIE"),"L",IF(OR(B405="EE",B405="SE",B405="CE"),"A","")),IF(B405="EE",IF(E405&gt;=3,IF(D405&gt;=5,"H","A"),IF(E405&gt;=2,IF(D405&gt;=16,"H",IF(D405&lt;=4,"L","A")),IF(D405&lt;=15,"L","A"))),IF(OR(B405="SE",B405="CE"),IF(E405&gt;=4,IF(D405&gt;=6,"H","A"),IF(E405&gt;=2,IF(D405&gt;=20,"H",IF(D405&lt;=5,"L","A")),IF(D405&lt;=19,"L","A"))),IF(OR(B405="ALI",B405="AIE"),IF(E405&gt;=6,IF(D405&gt;=20,"H","A"),IF(E405&gt;=2,IF(D405&gt;=51,"H",IF(D405&lt;=19,"L","A")),IF(D405&lt;=50,"L","A"))),""))))</f>
        <v/>
      </c>
      <c r="J405" s="7">
        <f>CONCATENATE(B405,C405)</f>
        <v/>
      </c>
      <c r="K405" s="9">
        <f>IF(OR(H405="",H405=0),L405,H405)</f>
        <v/>
      </c>
      <c r="L405" s="9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 t="n"/>
      <c r="N405" s="115" t="n"/>
      <c r="O405" s="6" t="n"/>
    </row>
    <row r="406">
      <c r="A406" s="112" t="n"/>
      <c r="B406" s="4" t="n"/>
      <c r="C406" s="4" t="n"/>
      <c r="D406" s="7" t="n"/>
      <c r="E406" s="7" t="n"/>
      <c r="F406" s="8">
        <f>IF(ISBLANK(B406),"",IF(I406="L","Baixa",IF(I406="A","Média",IF(I406="","","Alta"))))</f>
        <v/>
      </c>
      <c r="G406" s="7">
        <f>CONCATENATE(B406,I406)</f>
        <v/>
      </c>
      <c r="H406" s="5">
        <f>IF(ISBLANK(B406),"",IF(B406="ALI",IF(I406="L",7,IF(I406="A",10,15)),IF(B406="AIE",IF(I406="L",5,IF(I406="A",7,10)),IF(B406="SE",IF(I406="L",4,IF(I406="A",5,7)),IF(OR(B406="EE",B406="CE"),IF(I406="L",3,IF(I406="A",4,6)),0)))))</f>
        <v/>
      </c>
      <c r="I406" s="110">
        <f>IF(OR(ISBLANK(D406),ISBLANK(E406)),IF(OR(B406="ALI",B406="AIE"),"L",IF(OR(B406="EE",B406="SE",B406="CE"),"A","")),IF(B406="EE",IF(E406&gt;=3,IF(D406&gt;=5,"H","A"),IF(E406&gt;=2,IF(D406&gt;=16,"H",IF(D406&lt;=4,"L","A")),IF(D406&lt;=15,"L","A"))),IF(OR(B406="SE",B406="CE"),IF(E406&gt;=4,IF(D406&gt;=6,"H","A"),IF(E406&gt;=2,IF(D406&gt;=20,"H",IF(D406&lt;=5,"L","A")),IF(D406&lt;=19,"L","A"))),IF(OR(B406="ALI",B406="AIE"),IF(E406&gt;=6,IF(D406&gt;=20,"H","A"),IF(E406&gt;=2,IF(D406&gt;=51,"H",IF(D406&lt;=19,"L","A")),IF(D406&lt;=50,"L","A"))),""))))</f>
        <v/>
      </c>
      <c r="J406" s="7">
        <f>CONCATENATE(B406,C406)</f>
        <v/>
      </c>
      <c r="K406" s="9">
        <f>IF(OR(H406="",H406=0),L406,H406)</f>
        <v/>
      </c>
      <c r="L406" s="9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 t="n"/>
      <c r="N406" s="115" t="n"/>
      <c r="O406" s="6" t="n"/>
    </row>
    <row r="407">
      <c r="A407" s="112" t="n"/>
      <c r="B407" s="4" t="n"/>
      <c r="C407" s="4" t="n"/>
      <c r="D407" s="7" t="n"/>
      <c r="E407" s="7" t="n"/>
      <c r="F407" s="8">
        <f>IF(ISBLANK(B407),"",IF(I407="L","Baixa",IF(I407="A","Média",IF(I407="","","Alta"))))</f>
        <v/>
      </c>
      <c r="G407" s="7">
        <f>CONCATENATE(B407,I407)</f>
        <v/>
      </c>
      <c r="H407" s="5">
        <f>IF(ISBLANK(B407),"",IF(B407="ALI",IF(I407="L",7,IF(I407="A",10,15)),IF(B407="AIE",IF(I407="L",5,IF(I407="A",7,10)),IF(B407="SE",IF(I407="L",4,IF(I407="A",5,7)),IF(OR(B407="EE",B407="CE"),IF(I407="L",3,IF(I407="A",4,6)),0)))))</f>
        <v/>
      </c>
      <c r="I407" s="110">
        <f>IF(OR(ISBLANK(D407),ISBLANK(E407)),IF(OR(B407="ALI",B407="AIE"),"L",IF(OR(B407="EE",B407="SE",B407="CE"),"A","")),IF(B407="EE",IF(E407&gt;=3,IF(D407&gt;=5,"H","A"),IF(E407&gt;=2,IF(D407&gt;=16,"H",IF(D407&lt;=4,"L","A")),IF(D407&lt;=15,"L","A"))),IF(OR(B407="SE",B407="CE"),IF(E407&gt;=4,IF(D407&gt;=6,"H","A"),IF(E407&gt;=2,IF(D407&gt;=20,"H",IF(D407&lt;=5,"L","A")),IF(D407&lt;=19,"L","A"))),IF(OR(B407="ALI",B407="AIE"),IF(E407&gt;=6,IF(D407&gt;=20,"H","A"),IF(E407&gt;=2,IF(D407&gt;=51,"H",IF(D407&lt;=19,"L","A")),IF(D407&lt;=50,"L","A"))),""))))</f>
        <v/>
      </c>
      <c r="J407" s="7">
        <f>CONCATENATE(B407,C407)</f>
        <v/>
      </c>
      <c r="K407" s="9">
        <f>IF(OR(H407="",H407=0),L407,H407)</f>
        <v/>
      </c>
      <c r="L407" s="9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 t="n"/>
      <c r="N407" s="115" t="n"/>
      <c r="O407" s="6" t="n"/>
    </row>
    <row r="408">
      <c r="A408" s="112" t="n"/>
      <c r="B408" s="4" t="n"/>
      <c r="C408" s="4" t="n"/>
      <c r="D408" s="7" t="n"/>
      <c r="E408" s="7" t="n"/>
      <c r="F408" s="8">
        <f>IF(ISBLANK(B408),"",IF(I408="L","Baixa",IF(I408="A","Média",IF(I408="","","Alta"))))</f>
        <v/>
      </c>
      <c r="G408" s="7">
        <f>CONCATENATE(B408,I408)</f>
        <v/>
      </c>
      <c r="H408" s="5">
        <f>IF(ISBLANK(B408),"",IF(B408="ALI",IF(I408="L",7,IF(I408="A",10,15)),IF(B408="AIE",IF(I408="L",5,IF(I408="A",7,10)),IF(B408="SE",IF(I408="L",4,IF(I408="A",5,7)),IF(OR(B408="EE",B408="CE"),IF(I408="L",3,IF(I408="A",4,6)),0)))))</f>
        <v/>
      </c>
      <c r="I408" s="110">
        <f>IF(OR(ISBLANK(D408),ISBLANK(E408)),IF(OR(B408="ALI",B408="AIE"),"L",IF(OR(B408="EE",B408="SE",B408="CE"),"A","")),IF(B408="EE",IF(E408&gt;=3,IF(D408&gt;=5,"H","A"),IF(E408&gt;=2,IF(D408&gt;=16,"H",IF(D408&lt;=4,"L","A")),IF(D408&lt;=15,"L","A"))),IF(OR(B408="SE",B408="CE"),IF(E408&gt;=4,IF(D408&gt;=6,"H","A"),IF(E408&gt;=2,IF(D408&gt;=20,"H",IF(D408&lt;=5,"L","A")),IF(D408&lt;=19,"L","A"))),IF(OR(B408="ALI",B408="AIE"),IF(E408&gt;=6,IF(D408&gt;=20,"H","A"),IF(E408&gt;=2,IF(D408&gt;=51,"H",IF(D408&lt;=19,"L","A")),IF(D408&lt;=50,"L","A"))),""))))</f>
        <v/>
      </c>
      <c r="J408" s="7">
        <f>CONCATENATE(B408,C408)</f>
        <v/>
      </c>
      <c r="K408" s="9">
        <f>IF(OR(H408="",H408=0),L408,H408)</f>
        <v/>
      </c>
      <c r="L408" s="9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 t="n"/>
      <c r="N408" s="115" t="n"/>
      <c r="O408" s="6" t="n"/>
    </row>
    <row r="409">
      <c r="A409" s="112" t="n"/>
      <c r="B409" s="4" t="n"/>
      <c r="C409" s="4" t="n"/>
      <c r="D409" s="7" t="n"/>
      <c r="E409" s="7" t="n"/>
      <c r="F409" s="8">
        <f>IF(ISBLANK(B409),"",IF(I409="L","Baixa",IF(I409="A","Média",IF(I409="","","Alta"))))</f>
        <v/>
      </c>
      <c r="G409" s="7">
        <f>CONCATENATE(B409,I409)</f>
        <v/>
      </c>
      <c r="H409" s="5">
        <f>IF(ISBLANK(B409),"",IF(B409="ALI",IF(I409="L",7,IF(I409="A",10,15)),IF(B409="AIE",IF(I409="L",5,IF(I409="A",7,10)),IF(B409="SE",IF(I409="L",4,IF(I409="A",5,7)),IF(OR(B409="EE",B409="CE"),IF(I409="L",3,IF(I409="A",4,6)),0)))))</f>
        <v/>
      </c>
      <c r="I409" s="110">
        <f>IF(OR(ISBLANK(D409),ISBLANK(E409)),IF(OR(B409="ALI",B409="AIE"),"L",IF(OR(B409="EE",B409="SE",B409="CE"),"A","")),IF(B409="EE",IF(E409&gt;=3,IF(D409&gt;=5,"H","A"),IF(E409&gt;=2,IF(D409&gt;=16,"H",IF(D409&lt;=4,"L","A")),IF(D409&lt;=15,"L","A"))),IF(OR(B409="SE",B409="CE"),IF(E409&gt;=4,IF(D409&gt;=6,"H","A"),IF(E409&gt;=2,IF(D409&gt;=20,"H",IF(D409&lt;=5,"L","A")),IF(D409&lt;=19,"L","A"))),IF(OR(B409="ALI",B409="AIE"),IF(E409&gt;=6,IF(D409&gt;=20,"H","A"),IF(E409&gt;=2,IF(D409&gt;=51,"H",IF(D409&lt;=19,"L","A")),IF(D409&lt;=50,"L","A"))),""))))</f>
        <v/>
      </c>
      <c r="J409" s="7">
        <f>CONCATENATE(B409,C409)</f>
        <v/>
      </c>
      <c r="K409" s="9">
        <f>IF(OR(H409="",H409=0),L409,H409)</f>
        <v/>
      </c>
      <c r="L409" s="9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 t="n"/>
      <c r="N409" s="115" t="n"/>
      <c r="O409" s="6" t="n"/>
    </row>
    <row r="410">
      <c r="A410" s="112" t="n"/>
      <c r="B410" s="4" t="n"/>
      <c r="C410" s="4" t="n"/>
      <c r="D410" s="7" t="n"/>
      <c r="E410" s="7" t="n"/>
      <c r="F410" s="8">
        <f>IF(ISBLANK(B410),"",IF(I410="L","Baixa",IF(I410="A","Média",IF(I410="","","Alta"))))</f>
        <v/>
      </c>
      <c r="G410" s="7">
        <f>CONCATENATE(B410,I410)</f>
        <v/>
      </c>
      <c r="H410" s="5">
        <f>IF(ISBLANK(B410),"",IF(B410="ALI",IF(I410="L",7,IF(I410="A",10,15)),IF(B410="AIE",IF(I410="L",5,IF(I410="A",7,10)),IF(B410="SE",IF(I410="L",4,IF(I410="A",5,7)),IF(OR(B410="EE",B410="CE"),IF(I410="L",3,IF(I410="A",4,6)),0)))))</f>
        <v/>
      </c>
      <c r="I410" s="110">
        <f>IF(OR(ISBLANK(D410),ISBLANK(E410)),IF(OR(B410="ALI",B410="AIE"),"L",IF(OR(B410="EE",B410="SE",B410="CE"),"A","")),IF(B410="EE",IF(E410&gt;=3,IF(D410&gt;=5,"H","A"),IF(E410&gt;=2,IF(D410&gt;=16,"H",IF(D410&lt;=4,"L","A")),IF(D410&lt;=15,"L","A"))),IF(OR(B410="SE",B410="CE"),IF(E410&gt;=4,IF(D410&gt;=6,"H","A"),IF(E410&gt;=2,IF(D410&gt;=20,"H",IF(D410&lt;=5,"L","A")),IF(D410&lt;=19,"L","A"))),IF(OR(B410="ALI",B410="AIE"),IF(E410&gt;=6,IF(D410&gt;=20,"H","A"),IF(E410&gt;=2,IF(D410&gt;=51,"H",IF(D410&lt;=19,"L","A")),IF(D410&lt;=50,"L","A"))),""))))</f>
        <v/>
      </c>
      <c r="J410" s="7">
        <f>CONCATENATE(B410,C410)</f>
        <v/>
      </c>
      <c r="K410" s="9">
        <f>IF(OR(H410="",H410=0),L410,H410)</f>
        <v/>
      </c>
      <c r="L410" s="9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 t="n"/>
      <c r="N410" s="115" t="n"/>
      <c r="O410" s="6" t="n"/>
    </row>
    <row r="411">
      <c r="A411" s="112" t="n"/>
      <c r="B411" s="4" t="n"/>
      <c r="C411" s="4" t="n"/>
      <c r="D411" s="7" t="n"/>
      <c r="E411" s="7" t="n"/>
      <c r="F411" s="8">
        <f>IF(ISBLANK(B411),"",IF(I411="L","Baixa",IF(I411="A","Média",IF(I411="","","Alta"))))</f>
        <v/>
      </c>
      <c r="G411" s="7">
        <f>CONCATENATE(B411,I411)</f>
        <v/>
      </c>
      <c r="H411" s="5">
        <f>IF(ISBLANK(B411),"",IF(B411="ALI",IF(I411="L",7,IF(I411="A",10,15)),IF(B411="AIE",IF(I411="L",5,IF(I411="A",7,10)),IF(B411="SE",IF(I411="L",4,IF(I411="A",5,7)),IF(OR(B411="EE",B411="CE"),IF(I411="L",3,IF(I411="A",4,6)),0)))))</f>
        <v/>
      </c>
      <c r="I411" s="110">
        <f>IF(OR(ISBLANK(D411),ISBLANK(E411)),IF(OR(B411="ALI",B411="AIE"),"L",IF(OR(B411="EE",B411="SE",B411="CE"),"A","")),IF(B411="EE",IF(E411&gt;=3,IF(D411&gt;=5,"H","A"),IF(E411&gt;=2,IF(D411&gt;=16,"H",IF(D411&lt;=4,"L","A")),IF(D411&lt;=15,"L","A"))),IF(OR(B411="SE",B411="CE"),IF(E411&gt;=4,IF(D411&gt;=6,"H","A"),IF(E411&gt;=2,IF(D411&gt;=20,"H",IF(D411&lt;=5,"L","A")),IF(D411&lt;=19,"L","A"))),IF(OR(B411="ALI",B411="AIE"),IF(E411&gt;=6,IF(D411&gt;=20,"H","A"),IF(E411&gt;=2,IF(D411&gt;=51,"H",IF(D411&lt;=19,"L","A")),IF(D411&lt;=50,"L","A"))),""))))</f>
        <v/>
      </c>
      <c r="J411" s="7">
        <f>CONCATENATE(B411,C411)</f>
        <v/>
      </c>
      <c r="K411" s="9">
        <f>IF(OR(H411="",H411=0),L411,H411)</f>
        <v/>
      </c>
      <c r="L411" s="9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 t="n"/>
      <c r="N411" s="115" t="n"/>
      <c r="O411" s="6" t="n"/>
    </row>
    <row r="412">
      <c r="A412" s="112" t="n"/>
      <c r="B412" s="4" t="n"/>
      <c r="C412" s="4" t="n"/>
      <c r="D412" s="7" t="n"/>
      <c r="E412" s="7" t="n"/>
      <c r="F412" s="8">
        <f>IF(ISBLANK(B412),"",IF(I412="L","Baixa",IF(I412="A","Média",IF(I412="","","Alta"))))</f>
        <v/>
      </c>
      <c r="G412" s="7">
        <f>CONCATENATE(B412,I412)</f>
        <v/>
      </c>
      <c r="H412" s="5">
        <f>IF(ISBLANK(B412),"",IF(B412="ALI",IF(I412="L",7,IF(I412="A",10,15)),IF(B412="AIE",IF(I412="L",5,IF(I412="A",7,10)),IF(B412="SE",IF(I412="L",4,IF(I412="A",5,7)),IF(OR(B412="EE",B412="CE"),IF(I412="L",3,IF(I412="A",4,6)),0)))))</f>
        <v/>
      </c>
      <c r="I412" s="110">
        <f>IF(OR(ISBLANK(D412),ISBLANK(E412)),IF(OR(B412="ALI",B412="AIE"),"L",IF(OR(B412="EE",B412="SE",B412="CE"),"A","")),IF(B412="EE",IF(E412&gt;=3,IF(D412&gt;=5,"H","A"),IF(E412&gt;=2,IF(D412&gt;=16,"H",IF(D412&lt;=4,"L","A")),IF(D412&lt;=15,"L","A"))),IF(OR(B412="SE",B412="CE"),IF(E412&gt;=4,IF(D412&gt;=6,"H","A"),IF(E412&gt;=2,IF(D412&gt;=20,"H",IF(D412&lt;=5,"L","A")),IF(D412&lt;=19,"L","A"))),IF(OR(B412="ALI",B412="AIE"),IF(E412&gt;=6,IF(D412&gt;=20,"H","A"),IF(E412&gt;=2,IF(D412&gt;=51,"H",IF(D412&lt;=19,"L","A")),IF(D412&lt;=50,"L","A"))),""))))</f>
        <v/>
      </c>
      <c r="J412" s="7">
        <f>CONCATENATE(B412,C412)</f>
        <v/>
      </c>
      <c r="K412" s="9">
        <f>IF(OR(H412="",H412=0),L412,H412)</f>
        <v/>
      </c>
      <c r="L412" s="9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 t="n"/>
      <c r="N412" s="115" t="n"/>
      <c r="O412" s="6" t="n"/>
    </row>
    <row r="413">
      <c r="A413" s="112" t="n"/>
      <c r="B413" s="4" t="n"/>
      <c r="C413" s="4" t="n"/>
      <c r="D413" s="7" t="n"/>
      <c r="E413" s="7" t="n"/>
      <c r="F413" s="8">
        <f>IF(ISBLANK(B413),"",IF(I413="L","Baixa",IF(I413="A","Média",IF(I413="","","Alta"))))</f>
        <v/>
      </c>
      <c r="G413" s="7">
        <f>CONCATENATE(B413,I413)</f>
        <v/>
      </c>
      <c r="H413" s="5">
        <f>IF(ISBLANK(B413),"",IF(B413="ALI",IF(I413="L",7,IF(I413="A",10,15)),IF(B413="AIE",IF(I413="L",5,IF(I413="A",7,10)),IF(B413="SE",IF(I413="L",4,IF(I413="A",5,7)),IF(OR(B413="EE",B413="CE"),IF(I413="L",3,IF(I413="A",4,6)),0)))))</f>
        <v/>
      </c>
      <c r="I413" s="110">
        <f>IF(OR(ISBLANK(D413),ISBLANK(E413)),IF(OR(B413="ALI",B413="AIE"),"L",IF(OR(B413="EE",B413="SE",B413="CE"),"A","")),IF(B413="EE",IF(E413&gt;=3,IF(D413&gt;=5,"H","A"),IF(E413&gt;=2,IF(D413&gt;=16,"H",IF(D413&lt;=4,"L","A")),IF(D413&lt;=15,"L","A"))),IF(OR(B413="SE",B413="CE"),IF(E413&gt;=4,IF(D413&gt;=6,"H","A"),IF(E413&gt;=2,IF(D413&gt;=20,"H",IF(D413&lt;=5,"L","A")),IF(D413&lt;=19,"L","A"))),IF(OR(B413="ALI",B413="AIE"),IF(E413&gt;=6,IF(D413&gt;=20,"H","A"),IF(E413&gt;=2,IF(D413&gt;=51,"H",IF(D413&lt;=19,"L","A")),IF(D413&lt;=50,"L","A"))),""))))</f>
        <v/>
      </c>
      <c r="J413" s="7">
        <f>CONCATENATE(B413,C413)</f>
        <v/>
      </c>
      <c r="K413" s="9">
        <f>IF(OR(H413="",H413=0),L413,H413)</f>
        <v/>
      </c>
      <c r="L413" s="9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 t="n"/>
      <c r="N413" s="115" t="n"/>
      <c r="O413" s="6" t="n"/>
    </row>
    <row r="414">
      <c r="A414" s="112" t="n"/>
      <c r="B414" s="4" t="n"/>
      <c r="C414" s="4" t="n"/>
      <c r="D414" s="7" t="n"/>
      <c r="E414" s="7" t="n"/>
      <c r="F414" s="8">
        <f>IF(ISBLANK(B414),"",IF(I414="L","Baixa",IF(I414="A","Média",IF(I414="","","Alta"))))</f>
        <v/>
      </c>
      <c r="G414" s="7">
        <f>CONCATENATE(B414,I414)</f>
        <v/>
      </c>
      <c r="H414" s="5">
        <f>IF(ISBLANK(B414),"",IF(B414="ALI",IF(I414="L",7,IF(I414="A",10,15)),IF(B414="AIE",IF(I414="L",5,IF(I414="A",7,10)),IF(B414="SE",IF(I414="L",4,IF(I414="A",5,7)),IF(OR(B414="EE",B414="CE"),IF(I414="L",3,IF(I414="A",4,6)),0)))))</f>
        <v/>
      </c>
      <c r="I414" s="110">
        <f>IF(OR(ISBLANK(D414),ISBLANK(E414)),IF(OR(B414="ALI",B414="AIE"),"L",IF(OR(B414="EE",B414="SE",B414="CE"),"A","")),IF(B414="EE",IF(E414&gt;=3,IF(D414&gt;=5,"H","A"),IF(E414&gt;=2,IF(D414&gt;=16,"H",IF(D414&lt;=4,"L","A")),IF(D414&lt;=15,"L","A"))),IF(OR(B414="SE",B414="CE"),IF(E414&gt;=4,IF(D414&gt;=6,"H","A"),IF(E414&gt;=2,IF(D414&gt;=20,"H",IF(D414&lt;=5,"L","A")),IF(D414&lt;=19,"L","A"))),IF(OR(B414="ALI",B414="AIE"),IF(E414&gt;=6,IF(D414&gt;=20,"H","A"),IF(E414&gt;=2,IF(D414&gt;=51,"H",IF(D414&lt;=19,"L","A")),IF(D414&lt;=50,"L","A"))),""))))</f>
        <v/>
      </c>
      <c r="J414" s="7">
        <f>CONCATENATE(B414,C414)</f>
        <v/>
      </c>
      <c r="K414" s="9">
        <f>IF(OR(H414="",H414=0),L414,H414)</f>
        <v/>
      </c>
      <c r="L414" s="9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 t="n"/>
      <c r="N414" s="115" t="n"/>
      <c r="O414" s="6" t="n"/>
    </row>
    <row r="415">
      <c r="A415" s="112" t="n"/>
      <c r="B415" s="4" t="n"/>
      <c r="C415" s="4" t="n"/>
      <c r="D415" s="7" t="n"/>
      <c r="E415" s="7" t="n"/>
      <c r="F415" s="8">
        <f>IF(ISBLANK(B415),"",IF(I415="L","Baixa",IF(I415="A","Média",IF(I415="","","Alta"))))</f>
        <v/>
      </c>
      <c r="G415" s="7">
        <f>CONCATENATE(B415,I415)</f>
        <v/>
      </c>
      <c r="H415" s="5">
        <f>IF(ISBLANK(B415),"",IF(B415="ALI",IF(I415="L",7,IF(I415="A",10,15)),IF(B415="AIE",IF(I415="L",5,IF(I415="A",7,10)),IF(B415="SE",IF(I415="L",4,IF(I415="A",5,7)),IF(OR(B415="EE",B415="CE"),IF(I415="L",3,IF(I415="A",4,6)),0)))))</f>
        <v/>
      </c>
      <c r="I415" s="110">
        <f>IF(OR(ISBLANK(D415),ISBLANK(E415)),IF(OR(B415="ALI",B415="AIE"),"L",IF(OR(B415="EE",B415="SE",B415="CE"),"A","")),IF(B415="EE",IF(E415&gt;=3,IF(D415&gt;=5,"H","A"),IF(E415&gt;=2,IF(D415&gt;=16,"H",IF(D415&lt;=4,"L","A")),IF(D415&lt;=15,"L","A"))),IF(OR(B415="SE",B415="CE"),IF(E415&gt;=4,IF(D415&gt;=6,"H","A"),IF(E415&gt;=2,IF(D415&gt;=20,"H",IF(D415&lt;=5,"L","A")),IF(D415&lt;=19,"L","A"))),IF(OR(B415="ALI",B415="AIE"),IF(E415&gt;=6,IF(D415&gt;=20,"H","A"),IF(E415&gt;=2,IF(D415&gt;=51,"H",IF(D415&lt;=19,"L","A")),IF(D415&lt;=50,"L","A"))),""))))</f>
        <v/>
      </c>
      <c r="J415" s="7">
        <f>CONCATENATE(B415,C415)</f>
        <v/>
      </c>
      <c r="K415" s="9">
        <f>IF(OR(H415="",H415=0),L415,H415)</f>
        <v/>
      </c>
      <c r="L415" s="9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 t="n"/>
      <c r="N415" s="115" t="n"/>
      <c r="O415" s="6" t="n"/>
    </row>
    <row r="416">
      <c r="A416" s="112" t="n"/>
      <c r="B416" s="4" t="n"/>
      <c r="C416" s="4" t="n"/>
      <c r="D416" s="7" t="n"/>
      <c r="E416" s="7" t="n"/>
      <c r="F416" s="8">
        <f>IF(ISBLANK(B416),"",IF(I416="L","Baixa",IF(I416="A","Média",IF(I416="","","Alta"))))</f>
        <v/>
      </c>
      <c r="G416" s="7">
        <f>CONCATENATE(B416,I416)</f>
        <v/>
      </c>
      <c r="H416" s="5">
        <f>IF(ISBLANK(B416),"",IF(B416="ALI",IF(I416="L",7,IF(I416="A",10,15)),IF(B416="AIE",IF(I416="L",5,IF(I416="A",7,10)),IF(B416="SE",IF(I416="L",4,IF(I416="A",5,7)),IF(OR(B416="EE",B416="CE"),IF(I416="L",3,IF(I416="A",4,6)),0)))))</f>
        <v/>
      </c>
      <c r="I416" s="110">
        <f>IF(OR(ISBLANK(D416),ISBLANK(E416)),IF(OR(B416="ALI",B416="AIE"),"L",IF(OR(B416="EE",B416="SE",B416="CE"),"A","")),IF(B416="EE",IF(E416&gt;=3,IF(D416&gt;=5,"H","A"),IF(E416&gt;=2,IF(D416&gt;=16,"H",IF(D416&lt;=4,"L","A")),IF(D416&lt;=15,"L","A"))),IF(OR(B416="SE",B416="CE"),IF(E416&gt;=4,IF(D416&gt;=6,"H","A"),IF(E416&gt;=2,IF(D416&gt;=20,"H",IF(D416&lt;=5,"L","A")),IF(D416&lt;=19,"L","A"))),IF(OR(B416="ALI",B416="AIE"),IF(E416&gt;=6,IF(D416&gt;=20,"H","A"),IF(E416&gt;=2,IF(D416&gt;=51,"H",IF(D416&lt;=19,"L","A")),IF(D416&lt;=50,"L","A"))),""))))</f>
        <v/>
      </c>
      <c r="J416" s="7">
        <f>CONCATENATE(B416,C416)</f>
        <v/>
      </c>
      <c r="K416" s="9">
        <f>IF(OR(H416="",H416=0),L416,H416)</f>
        <v/>
      </c>
      <c r="L416" s="9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 t="n"/>
      <c r="N416" s="115" t="n"/>
      <c r="O416" s="6" t="n"/>
    </row>
    <row r="417">
      <c r="A417" s="112" t="n"/>
      <c r="B417" s="4" t="n"/>
      <c r="C417" s="4" t="n"/>
      <c r="D417" s="7" t="n"/>
      <c r="E417" s="7" t="n"/>
      <c r="F417" s="8">
        <f>IF(ISBLANK(B417),"",IF(I417="L","Baixa",IF(I417="A","Média",IF(I417="","","Alta"))))</f>
        <v/>
      </c>
      <c r="G417" s="7">
        <f>CONCATENATE(B417,I417)</f>
        <v/>
      </c>
      <c r="H417" s="5">
        <f>IF(ISBLANK(B417),"",IF(B417="ALI",IF(I417="L",7,IF(I417="A",10,15)),IF(B417="AIE",IF(I417="L",5,IF(I417="A",7,10)),IF(B417="SE",IF(I417="L",4,IF(I417="A",5,7)),IF(OR(B417="EE",B417="CE"),IF(I417="L",3,IF(I417="A",4,6)),0)))))</f>
        <v/>
      </c>
      <c r="I417" s="110">
        <f>IF(OR(ISBLANK(D417),ISBLANK(E417)),IF(OR(B417="ALI",B417="AIE"),"L",IF(OR(B417="EE",B417="SE",B417="CE"),"A","")),IF(B417="EE",IF(E417&gt;=3,IF(D417&gt;=5,"H","A"),IF(E417&gt;=2,IF(D417&gt;=16,"H",IF(D417&lt;=4,"L","A")),IF(D417&lt;=15,"L","A"))),IF(OR(B417="SE",B417="CE"),IF(E417&gt;=4,IF(D417&gt;=6,"H","A"),IF(E417&gt;=2,IF(D417&gt;=20,"H",IF(D417&lt;=5,"L","A")),IF(D417&lt;=19,"L","A"))),IF(OR(B417="ALI",B417="AIE"),IF(E417&gt;=6,IF(D417&gt;=20,"H","A"),IF(E417&gt;=2,IF(D417&gt;=51,"H",IF(D417&lt;=19,"L","A")),IF(D417&lt;=50,"L","A"))),""))))</f>
        <v/>
      </c>
      <c r="J417" s="7">
        <f>CONCATENATE(B417,C417)</f>
        <v/>
      </c>
      <c r="K417" s="9">
        <f>IF(OR(H417="",H417=0),L417,H417)</f>
        <v/>
      </c>
      <c r="L417" s="9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 t="n"/>
      <c r="N417" s="115" t="n"/>
      <c r="O417" s="6" t="n"/>
    </row>
    <row r="418">
      <c r="A418" s="112" t="n"/>
      <c r="B418" s="4" t="n"/>
      <c r="C418" s="4" t="n"/>
      <c r="D418" s="7" t="n"/>
      <c r="E418" s="7" t="n"/>
      <c r="F418" s="8">
        <f>IF(ISBLANK(B418),"",IF(I418="L","Baixa",IF(I418="A","Média",IF(I418="","","Alta"))))</f>
        <v/>
      </c>
      <c r="G418" s="7">
        <f>CONCATENATE(B418,I418)</f>
        <v/>
      </c>
      <c r="H418" s="5">
        <f>IF(ISBLANK(B418),"",IF(B418="ALI",IF(I418="L",7,IF(I418="A",10,15)),IF(B418="AIE",IF(I418="L",5,IF(I418="A",7,10)),IF(B418="SE",IF(I418="L",4,IF(I418="A",5,7)),IF(OR(B418="EE",B418="CE"),IF(I418="L",3,IF(I418="A",4,6)),0)))))</f>
        <v/>
      </c>
      <c r="I418" s="110">
        <f>IF(OR(ISBLANK(D418),ISBLANK(E418)),IF(OR(B418="ALI",B418="AIE"),"L",IF(OR(B418="EE",B418="SE",B418="CE"),"A","")),IF(B418="EE",IF(E418&gt;=3,IF(D418&gt;=5,"H","A"),IF(E418&gt;=2,IF(D418&gt;=16,"H",IF(D418&lt;=4,"L","A")),IF(D418&lt;=15,"L","A"))),IF(OR(B418="SE",B418="CE"),IF(E418&gt;=4,IF(D418&gt;=6,"H","A"),IF(E418&gt;=2,IF(D418&gt;=20,"H",IF(D418&lt;=5,"L","A")),IF(D418&lt;=19,"L","A"))),IF(OR(B418="ALI",B418="AIE"),IF(E418&gt;=6,IF(D418&gt;=20,"H","A"),IF(E418&gt;=2,IF(D418&gt;=51,"H",IF(D418&lt;=19,"L","A")),IF(D418&lt;=50,"L","A"))),""))))</f>
        <v/>
      </c>
      <c r="J418" s="7">
        <f>CONCATENATE(B418,C418)</f>
        <v/>
      </c>
      <c r="K418" s="9">
        <f>IF(OR(H418="",H418=0),L418,H418)</f>
        <v/>
      </c>
      <c r="L418" s="9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 t="n"/>
      <c r="N418" s="115" t="n"/>
      <c r="O418" s="6" t="n"/>
    </row>
    <row r="419">
      <c r="A419" s="112" t="n"/>
      <c r="B419" s="4" t="n"/>
      <c r="C419" s="4" t="n"/>
      <c r="D419" s="7" t="n"/>
      <c r="E419" s="7" t="n"/>
      <c r="F419" s="8">
        <f>IF(ISBLANK(B419),"",IF(I419="L","Baixa",IF(I419="A","Média",IF(I419="","","Alta"))))</f>
        <v/>
      </c>
      <c r="G419" s="7">
        <f>CONCATENATE(B419,I419)</f>
        <v/>
      </c>
      <c r="H419" s="5">
        <f>IF(ISBLANK(B419),"",IF(B419="ALI",IF(I419="L",7,IF(I419="A",10,15)),IF(B419="AIE",IF(I419="L",5,IF(I419="A",7,10)),IF(B419="SE",IF(I419="L",4,IF(I419="A",5,7)),IF(OR(B419="EE",B419="CE"),IF(I419="L",3,IF(I419="A",4,6)),0)))))</f>
        <v/>
      </c>
      <c r="I419" s="110">
        <f>IF(OR(ISBLANK(D419),ISBLANK(E419)),IF(OR(B419="ALI",B419="AIE"),"L",IF(OR(B419="EE",B419="SE",B419="CE"),"A","")),IF(B419="EE",IF(E419&gt;=3,IF(D419&gt;=5,"H","A"),IF(E419&gt;=2,IF(D419&gt;=16,"H",IF(D419&lt;=4,"L","A")),IF(D419&lt;=15,"L","A"))),IF(OR(B419="SE",B419="CE"),IF(E419&gt;=4,IF(D419&gt;=6,"H","A"),IF(E419&gt;=2,IF(D419&gt;=20,"H",IF(D419&lt;=5,"L","A")),IF(D419&lt;=19,"L","A"))),IF(OR(B419="ALI",B419="AIE"),IF(E419&gt;=6,IF(D419&gt;=20,"H","A"),IF(E419&gt;=2,IF(D419&gt;=51,"H",IF(D419&lt;=19,"L","A")),IF(D419&lt;=50,"L","A"))),""))))</f>
        <v/>
      </c>
      <c r="J419" s="7">
        <f>CONCATENATE(B419,C419)</f>
        <v/>
      </c>
      <c r="K419" s="9">
        <f>IF(OR(H419="",H419=0),L419,H419)</f>
        <v/>
      </c>
      <c r="L419" s="9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 t="n"/>
      <c r="N419" s="115" t="n"/>
      <c r="O419" s="6" t="n"/>
    </row>
    <row r="420">
      <c r="A420" s="112" t="n"/>
      <c r="B420" s="4" t="n"/>
      <c r="C420" s="4" t="n"/>
      <c r="D420" s="7" t="n"/>
      <c r="E420" s="7" t="n"/>
      <c r="F420" s="8">
        <f>IF(ISBLANK(B420),"",IF(I420="L","Baixa",IF(I420="A","Média",IF(I420="","","Alta"))))</f>
        <v/>
      </c>
      <c r="G420" s="7">
        <f>CONCATENATE(B420,I420)</f>
        <v/>
      </c>
      <c r="H420" s="5">
        <f>IF(ISBLANK(B420),"",IF(B420="ALI",IF(I420="L",7,IF(I420="A",10,15)),IF(B420="AIE",IF(I420="L",5,IF(I420="A",7,10)),IF(B420="SE",IF(I420="L",4,IF(I420="A",5,7)),IF(OR(B420="EE",B420="CE"),IF(I420="L",3,IF(I420="A",4,6)),0)))))</f>
        <v/>
      </c>
      <c r="I420" s="110">
        <f>IF(OR(ISBLANK(D420),ISBLANK(E420)),IF(OR(B420="ALI",B420="AIE"),"L",IF(OR(B420="EE",B420="SE",B420="CE"),"A","")),IF(B420="EE",IF(E420&gt;=3,IF(D420&gt;=5,"H","A"),IF(E420&gt;=2,IF(D420&gt;=16,"H",IF(D420&lt;=4,"L","A")),IF(D420&lt;=15,"L","A"))),IF(OR(B420="SE",B420="CE"),IF(E420&gt;=4,IF(D420&gt;=6,"H","A"),IF(E420&gt;=2,IF(D420&gt;=20,"H",IF(D420&lt;=5,"L","A")),IF(D420&lt;=19,"L","A"))),IF(OR(B420="ALI",B420="AIE"),IF(E420&gt;=6,IF(D420&gt;=20,"H","A"),IF(E420&gt;=2,IF(D420&gt;=51,"H",IF(D420&lt;=19,"L","A")),IF(D420&lt;=50,"L","A"))),""))))</f>
        <v/>
      </c>
      <c r="J420" s="7">
        <f>CONCATENATE(B420,C420)</f>
        <v/>
      </c>
      <c r="K420" s="9">
        <f>IF(OR(H420="",H420=0),L420,H420)</f>
        <v/>
      </c>
      <c r="L420" s="9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 t="n"/>
      <c r="N420" s="115" t="n"/>
      <c r="O420" s="6" t="n"/>
    </row>
    <row r="421">
      <c r="A421" s="112" t="n"/>
      <c r="B421" s="4" t="n"/>
      <c r="C421" s="4" t="n"/>
      <c r="D421" s="7" t="n"/>
      <c r="E421" s="7" t="n"/>
      <c r="F421" s="8">
        <f>IF(ISBLANK(B421),"",IF(I421="L","Baixa",IF(I421="A","Média",IF(I421="","","Alta"))))</f>
        <v/>
      </c>
      <c r="G421" s="7">
        <f>CONCATENATE(B421,I421)</f>
        <v/>
      </c>
      <c r="H421" s="5">
        <f>IF(ISBLANK(B421),"",IF(B421="ALI",IF(I421="L",7,IF(I421="A",10,15)),IF(B421="AIE",IF(I421="L",5,IF(I421="A",7,10)),IF(B421="SE",IF(I421="L",4,IF(I421="A",5,7)),IF(OR(B421="EE",B421="CE"),IF(I421="L",3,IF(I421="A",4,6)),0)))))</f>
        <v/>
      </c>
      <c r="I421" s="110">
        <f>IF(OR(ISBLANK(D421),ISBLANK(E421)),IF(OR(B421="ALI",B421="AIE"),"L",IF(OR(B421="EE",B421="SE",B421="CE"),"A","")),IF(B421="EE",IF(E421&gt;=3,IF(D421&gt;=5,"H","A"),IF(E421&gt;=2,IF(D421&gt;=16,"H",IF(D421&lt;=4,"L","A")),IF(D421&lt;=15,"L","A"))),IF(OR(B421="SE",B421="CE"),IF(E421&gt;=4,IF(D421&gt;=6,"H","A"),IF(E421&gt;=2,IF(D421&gt;=20,"H",IF(D421&lt;=5,"L","A")),IF(D421&lt;=19,"L","A"))),IF(OR(B421="ALI",B421="AIE"),IF(E421&gt;=6,IF(D421&gt;=20,"H","A"),IF(E421&gt;=2,IF(D421&gt;=51,"H",IF(D421&lt;=19,"L","A")),IF(D421&lt;=50,"L","A"))),""))))</f>
        <v/>
      </c>
      <c r="J421" s="7">
        <f>CONCATENATE(B421,C421)</f>
        <v/>
      </c>
      <c r="K421" s="9">
        <f>IF(OR(H421="",H421=0),L421,H421)</f>
        <v/>
      </c>
      <c r="L421" s="9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 t="n"/>
      <c r="N421" s="115" t="n"/>
      <c r="O421" s="6" t="n"/>
    </row>
    <row r="422">
      <c r="A422" s="112" t="n"/>
      <c r="B422" s="4" t="n"/>
      <c r="C422" s="4" t="n"/>
      <c r="D422" s="7" t="n"/>
      <c r="E422" s="7" t="n"/>
      <c r="F422" s="8">
        <f>IF(ISBLANK(B422),"",IF(I422="L","Baixa",IF(I422="A","Média",IF(I422="","","Alta"))))</f>
        <v/>
      </c>
      <c r="G422" s="7">
        <f>CONCATENATE(B422,I422)</f>
        <v/>
      </c>
      <c r="H422" s="5">
        <f>IF(ISBLANK(B422),"",IF(B422="ALI",IF(I422="L",7,IF(I422="A",10,15)),IF(B422="AIE",IF(I422="L",5,IF(I422="A",7,10)),IF(B422="SE",IF(I422="L",4,IF(I422="A",5,7)),IF(OR(B422="EE",B422="CE"),IF(I422="L",3,IF(I422="A",4,6)),0)))))</f>
        <v/>
      </c>
      <c r="I422" s="110">
        <f>IF(OR(ISBLANK(D422),ISBLANK(E422)),IF(OR(B422="ALI",B422="AIE"),"L",IF(OR(B422="EE",B422="SE",B422="CE"),"A","")),IF(B422="EE",IF(E422&gt;=3,IF(D422&gt;=5,"H","A"),IF(E422&gt;=2,IF(D422&gt;=16,"H",IF(D422&lt;=4,"L","A")),IF(D422&lt;=15,"L","A"))),IF(OR(B422="SE",B422="CE"),IF(E422&gt;=4,IF(D422&gt;=6,"H","A"),IF(E422&gt;=2,IF(D422&gt;=20,"H",IF(D422&lt;=5,"L","A")),IF(D422&lt;=19,"L","A"))),IF(OR(B422="ALI",B422="AIE"),IF(E422&gt;=6,IF(D422&gt;=20,"H","A"),IF(E422&gt;=2,IF(D422&gt;=51,"H",IF(D422&lt;=19,"L","A")),IF(D422&lt;=50,"L","A"))),""))))</f>
        <v/>
      </c>
      <c r="J422" s="7">
        <f>CONCATENATE(B422,C422)</f>
        <v/>
      </c>
      <c r="K422" s="9">
        <f>IF(OR(H422="",H422=0),L422,H422)</f>
        <v/>
      </c>
      <c r="L422" s="9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 t="n"/>
      <c r="N422" s="115" t="n"/>
      <c r="O422" s="6" t="n"/>
    </row>
    <row r="423">
      <c r="A423" s="112" t="n"/>
      <c r="B423" s="4" t="n"/>
      <c r="C423" s="4" t="n"/>
      <c r="D423" s="7" t="n"/>
      <c r="E423" s="7" t="n"/>
      <c r="F423" s="8">
        <f>IF(ISBLANK(B423),"",IF(I423="L","Baixa",IF(I423="A","Média",IF(I423="","","Alta"))))</f>
        <v/>
      </c>
      <c r="G423" s="7">
        <f>CONCATENATE(B423,I423)</f>
        <v/>
      </c>
      <c r="H423" s="5">
        <f>IF(ISBLANK(B423),"",IF(B423="ALI",IF(I423="L",7,IF(I423="A",10,15)),IF(B423="AIE",IF(I423="L",5,IF(I423="A",7,10)),IF(B423="SE",IF(I423="L",4,IF(I423="A",5,7)),IF(OR(B423="EE",B423="CE"),IF(I423="L",3,IF(I423="A",4,6)),0)))))</f>
        <v/>
      </c>
      <c r="I423" s="110">
        <f>IF(OR(ISBLANK(D423),ISBLANK(E423)),IF(OR(B423="ALI",B423="AIE"),"L",IF(OR(B423="EE",B423="SE",B423="CE"),"A","")),IF(B423="EE",IF(E423&gt;=3,IF(D423&gt;=5,"H","A"),IF(E423&gt;=2,IF(D423&gt;=16,"H",IF(D423&lt;=4,"L","A")),IF(D423&lt;=15,"L","A"))),IF(OR(B423="SE",B423="CE"),IF(E423&gt;=4,IF(D423&gt;=6,"H","A"),IF(E423&gt;=2,IF(D423&gt;=20,"H",IF(D423&lt;=5,"L","A")),IF(D423&lt;=19,"L","A"))),IF(OR(B423="ALI",B423="AIE"),IF(E423&gt;=6,IF(D423&gt;=20,"H","A"),IF(E423&gt;=2,IF(D423&gt;=51,"H",IF(D423&lt;=19,"L","A")),IF(D423&lt;=50,"L","A"))),""))))</f>
        <v/>
      </c>
      <c r="J423" s="7">
        <f>CONCATENATE(B423,C423)</f>
        <v/>
      </c>
      <c r="K423" s="9">
        <f>IF(OR(H423="",H423=0),L423,H423)</f>
        <v/>
      </c>
      <c r="L423" s="9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 t="n"/>
      <c r="N423" s="115" t="n"/>
      <c r="O423" s="6" t="n"/>
    </row>
    <row r="424">
      <c r="A424" s="112" t="n"/>
      <c r="B424" s="4" t="n"/>
      <c r="C424" s="4" t="n"/>
      <c r="D424" s="7" t="n"/>
      <c r="E424" s="7" t="n"/>
      <c r="F424" s="8">
        <f>IF(ISBLANK(B424),"",IF(I424="L","Baixa",IF(I424="A","Média",IF(I424="","","Alta"))))</f>
        <v/>
      </c>
      <c r="G424" s="7">
        <f>CONCATENATE(B424,I424)</f>
        <v/>
      </c>
      <c r="H424" s="5">
        <f>IF(ISBLANK(B424),"",IF(B424="ALI",IF(I424="L",7,IF(I424="A",10,15)),IF(B424="AIE",IF(I424="L",5,IF(I424="A",7,10)),IF(B424="SE",IF(I424="L",4,IF(I424="A",5,7)),IF(OR(B424="EE",B424="CE"),IF(I424="L",3,IF(I424="A",4,6)),0)))))</f>
        <v/>
      </c>
      <c r="I424" s="110">
        <f>IF(OR(ISBLANK(D424),ISBLANK(E424)),IF(OR(B424="ALI",B424="AIE"),"L",IF(OR(B424="EE",B424="SE",B424="CE"),"A","")),IF(B424="EE",IF(E424&gt;=3,IF(D424&gt;=5,"H","A"),IF(E424&gt;=2,IF(D424&gt;=16,"H",IF(D424&lt;=4,"L","A")),IF(D424&lt;=15,"L","A"))),IF(OR(B424="SE",B424="CE"),IF(E424&gt;=4,IF(D424&gt;=6,"H","A"),IF(E424&gt;=2,IF(D424&gt;=20,"H",IF(D424&lt;=5,"L","A")),IF(D424&lt;=19,"L","A"))),IF(OR(B424="ALI",B424="AIE"),IF(E424&gt;=6,IF(D424&gt;=20,"H","A"),IF(E424&gt;=2,IF(D424&gt;=51,"H",IF(D424&lt;=19,"L","A")),IF(D424&lt;=50,"L","A"))),""))))</f>
        <v/>
      </c>
      <c r="J424" s="7">
        <f>CONCATENATE(B424,C424)</f>
        <v/>
      </c>
      <c r="K424" s="9">
        <f>IF(OR(H424="",H424=0),L424,H424)</f>
        <v/>
      </c>
      <c r="L424" s="9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 t="n"/>
      <c r="N424" s="115" t="n"/>
      <c r="O424" s="6" t="n"/>
    </row>
    <row r="425">
      <c r="A425" s="112" t="n"/>
      <c r="B425" s="4" t="n"/>
      <c r="C425" s="4" t="n"/>
      <c r="D425" s="7" t="n"/>
      <c r="E425" s="7" t="n"/>
      <c r="F425" s="8">
        <f>IF(ISBLANK(B425),"",IF(I425="L","Baixa",IF(I425="A","Média",IF(I425="","","Alta"))))</f>
        <v/>
      </c>
      <c r="G425" s="7">
        <f>CONCATENATE(B425,I425)</f>
        <v/>
      </c>
      <c r="H425" s="5">
        <f>IF(ISBLANK(B425),"",IF(B425="ALI",IF(I425="L",7,IF(I425="A",10,15)),IF(B425="AIE",IF(I425="L",5,IF(I425="A",7,10)),IF(B425="SE",IF(I425="L",4,IF(I425="A",5,7)),IF(OR(B425="EE",B425="CE"),IF(I425="L",3,IF(I425="A",4,6)),0)))))</f>
        <v/>
      </c>
      <c r="I425" s="110">
        <f>IF(OR(ISBLANK(D425),ISBLANK(E425)),IF(OR(B425="ALI",B425="AIE"),"L",IF(OR(B425="EE",B425="SE",B425="CE"),"A","")),IF(B425="EE",IF(E425&gt;=3,IF(D425&gt;=5,"H","A"),IF(E425&gt;=2,IF(D425&gt;=16,"H",IF(D425&lt;=4,"L","A")),IF(D425&lt;=15,"L","A"))),IF(OR(B425="SE",B425="CE"),IF(E425&gt;=4,IF(D425&gt;=6,"H","A"),IF(E425&gt;=2,IF(D425&gt;=20,"H",IF(D425&lt;=5,"L","A")),IF(D425&lt;=19,"L","A"))),IF(OR(B425="ALI",B425="AIE"),IF(E425&gt;=6,IF(D425&gt;=20,"H","A"),IF(E425&gt;=2,IF(D425&gt;=51,"H",IF(D425&lt;=19,"L","A")),IF(D425&lt;=50,"L","A"))),""))))</f>
        <v/>
      </c>
      <c r="J425" s="7">
        <f>CONCATENATE(B425,C425)</f>
        <v/>
      </c>
      <c r="K425" s="9">
        <f>IF(OR(H425="",H425=0),L425,H425)</f>
        <v/>
      </c>
      <c r="L425" s="9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 t="n"/>
      <c r="N425" s="115" t="n"/>
      <c r="O425" s="6" t="n"/>
    </row>
    <row r="426">
      <c r="A426" s="112" t="n"/>
      <c r="B426" s="4" t="n"/>
      <c r="C426" s="4" t="n"/>
      <c r="D426" s="7" t="n"/>
      <c r="E426" s="7" t="n"/>
      <c r="F426" s="8">
        <f>IF(ISBLANK(B426),"",IF(I426="L","Baixa",IF(I426="A","Média",IF(I426="","","Alta"))))</f>
        <v/>
      </c>
      <c r="G426" s="7">
        <f>CONCATENATE(B426,I426)</f>
        <v/>
      </c>
      <c r="H426" s="5">
        <f>IF(ISBLANK(B426),"",IF(B426="ALI",IF(I426="L",7,IF(I426="A",10,15)),IF(B426="AIE",IF(I426="L",5,IF(I426="A",7,10)),IF(B426="SE",IF(I426="L",4,IF(I426="A",5,7)),IF(OR(B426="EE",B426="CE"),IF(I426="L",3,IF(I426="A",4,6)),0)))))</f>
        <v/>
      </c>
      <c r="I426" s="110">
        <f>IF(OR(ISBLANK(D426),ISBLANK(E426)),IF(OR(B426="ALI",B426="AIE"),"L",IF(OR(B426="EE",B426="SE",B426="CE"),"A","")),IF(B426="EE",IF(E426&gt;=3,IF(D426&gt;=5,"H","A"),IF(E426&gt;=2,IF(D426&gt;=16,"H",IF(D426&lt;=4,"L","A")),IF(D426&lt;=15,"L","A"))),IF(OR(B426="SE",B426="CE"),IF(E426&gt;=4,IF(D426&gt;=6,"H","A"),IF(E426&gt;=2,IF(D426&gt;=20,"H",IF(D426&lt;=5,"L","A")),IF(D426&lt;=19,"L","A"))),IF(OR(B426="ALI",B426="AIE"),IF(E426&gt;=6,IF(D426&gt;=20,"H","A"),IF(E426&gt;=2,IF(D426&gt;=51,"H",IF(D426&lt;=19,"L","A")),IF(D426&lt;=50,"L","A"))),""))))</f>
        <v/>
      </c>
      <c r="J426" s="7">
        <f>CONCATENATE(B426,C426)</f>
        <v/>
      </c>
      <c r="K426" s="9">
        <f>IF(OR(H426="",H426=0),L426,H426)</f>
        <v/>
      </c>
      <c r="L426" s="9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 t="n"/>
      <c r="N426" s="115" t="n"/>
      <c r="O426" s="6" t="n"/>
    </row>
    <row r="427">
      <c r="A427" s="112" t="n"/>
      <c r="B427" s="4" t="n"/>
      <c r="C427" s="4" t="n"/>
      <c r="D427" s="7" t="n"/>
      <c r="E427" s="7" t="n"/>
      <c r="F427" s="8">
        <f>IF(ISBLANK(B427),"",IF(I427="L","Baixa",IF(I427="A","Média",IF(I427="","","Alta"))))</f>
        <v/>
      </c>
      <c r="G427" s="7">
        <f>CONCATENATE(B427,I427)</f>
        <v/>
      </c>
      <c r="H427" s="5">
        <f>IF(ISBLANK(B427),"",IF(B427="ALI",IF(I427="L",7,IF(I427="A",10,15)),IF(B427="AIE",IF(I427="L",5,IF(I427="A",7,10)),IF(B427="SE",IF(I427="L",4,IF(I427="A",5,7)),IF(OR(B427="EE",B427="CE"),IF(I427="L",3,IF(I427="A",4,6)),0)))))</f>
        <v/>
      </c>
      <c r="I427" s="110">
        <f>IF(OR(ISBLANK(D427),ISBLANK(E427)),IF(OR(B427="ALI",B427="AIE"),"L",IF(OR(B427="EE",B427="SE",B427="CE"),"A","")),IF(B427="EE",IF(E427&gt;=3,IF(D427&gt;=5,"H","A"),IF(E427&gt;=2,IF(D427&gt;=16,"H",IF(D427&lt;=4,"L","A")),IF(D427&lt;=15,"L","A"))),IF(OR(B427="SE",B427="CE"),IF(E427&gt;=4,IF(D427&gt;=6,"H","A"),IF(E427&gt;=2,IF(D427&gt;=20,"H",IF(D427&lt;=5,"L","A")),IF(D427&lt;=19,"L","A"))),IF(OR(B427="ALI",B427="AIE"),IF(E427&gt;=6,IF(D427&gt;=20,"H","A"),IF(E427&gt;=2,IF(D427&gt;=51,"H",IF(D427&lt;=19,"L","A")),IF(D427&lt;=50,"L","A"))),""))))</f>
        <v/>
      </c>
      <c r="J427" s="7">
        <f>CONCATENATE(B427,C427)</f>
        <v/>
      </c>
      <c r="K427" s="9">
        <f>IF(OR(H427="",H427=0),L427,H427)</f>
        <v/>
      </c>
      <c r="L427" s="9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 t="n"/>
      <c r="N427" s="115" t="n"/>
      <c r="O427" s="6" t="n"/>
    </row>
    <row r="428">
      <c r="A428" s="112" t="n"/>
      <c r="B428" s="4" t="n"/>
      <c r="C428" s="4" t="n"/>
      <c r="D428" s="7" t="n"/>
      <c r="E428" s="7" t="n"/>
      <c r="F428" s="8">
        <f>IF(ISBLANK(B428),"",IF(I428="L","Baixa",IF(I428="A","Média",IF(I428="","","Alta"))))</f>
        <v/>
      </c>
      <c r="G428" s="7">
        <f>CONCATENATE(B428,I428)</f>
        <v/>
      </c>
      <c r="H428" s="5">
        <f>IF(ISBLANK(B428),"",IF(B428="ALI",IF(I428="L",7,IF(I428="A",10,15)),IF(B428="AIE",IF(I428="L",5,IF(I428="A",7,10)),IF(B428="SE",IF(I428="L",4,IF(I428="A",5,7)),IF(OR(B428="EE",B428="CE"),IF(I428="L",3,IF(I428="A",4,6)),0)))))</f>
        <v/>
      </c>
      <c r="I428" s="110">
        <f>IF(OR(ISBLANK(D428),ISBLANK(E428)),IF(OR(B428="ALI",B428="AIE"),"L",IF(OR(B428="EE",B428="SE",B428="CE"),"A","")),IF(B428="EE",IF(E428&gt;=3,IF(D428&gt;=5,"H","A"),IF(E428&gt;=2,IF(D428&gt;=16,"H",IF(D428&lt;=4,"L","A")),IF(D428&lt;=15,"L","A"))),IF(OR(B428="SE",B428="CE"),IF(E428&gt;=4,IF(D428&gt;=6,"H","A"),IF(E428&gt;=2,IF(D428&gt;=20,"H",IF(D428&lt;=5,"L","A")),IF(D428&lt;=19,"L","A"))),IF(OR(B428="ALI",B428="AIE"),IF(E428&gt;=6,IF(D428&gt;=20,"H","A"),IF(E428&gt;=2,IF(D428&gt;=51,"H",IF(D428&lt;=19,"L","A")),IF(D428&lt;=50,"L","A"))),""))))</f>
        <v/>
      </c>
      <c r="J428" s="7">
        <f>CONCATENATE(B428,C428)</f>
        <v/>
      </c>
      <c r="K428" s="9">
        <f>IF(OR(H428="",H428=0),L428,H428)</f>
        <v/>
      </c>
      <c r="L428" s="9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 t="n"/>
      <c r="N428" s="115" t="n"/>
      <c r="O428" s="6" t="n"/>
    </row>
    <row r="429">
      <c r="A429" s="112" t="n"/>
      <c r="B429" s="4" t="n"/>
      <c r="C429" s="4" t="n"/>
      <c r="D429" s="7" t="n"/>
      <c r="E429" s="7" t="n"/>
      <c r="F429" s="8">
        <f>IF(ISBLANK(B429),"",IF(I429="L","Baixa",IF(I429="A","Média",IF(I429="","","Alta"))))</f>
        <v/>
      </c>
      <c r="G429" s="7">
        <f>CONCATENATE(B429,I429)</f>
        <v/>
      </c>
      <c r="H429" s="5">
        <f>IF(ISBLANK(B429),"",IF(B429="ALI",IF(I429="L",7,IF(I429="A",10,15)),IF(B429="AIE",IF(I429="L",5,IF(I429="A",7,10)),IF(B429="SE",IF(I429="L",4,IF(I429="A",5,7)),IF(OR(B429="EE",B429="CE"),IF(I429="L",3,IF(I429="A",4,6)),0)))))</f>
        <v/>
      </c>
      <c r="I429" s="110">
        <f>IF(OR(ISBLANK(D429),ISBLANK(E429)),IF(OR(B429="ALI",B429="AIE"),"L",IF(OR(B429="EE",B429="SE",B429="CE"),"A","")),IF(B429="EE",IF(E429&gt;=3,IF(D429&gt;=5,"H","A"),IF(E429&gt;=2,IF(D429&gt;=16,"H",IF(D429&lt;=4,"L","A")),IF(D429&lt;=15,"L","A"))),IF(OR(B429="SE",B429="CE"),IF(E429&gt;=4,IF(D429&gt;=6,"H","A"),IF(E429&gt;=2,IF(D429&gt;=20,"H",IF(D429&lt;=5,"L","A")),IF(D429&lt;=19,"L","A"))),IF(OR(B429="ALI",B429="AIE"),IF(E429&gt;=6,IF(D429&gt;=20,"H","A"),IF(E429&gt;=2,IF(D429&gt;=51,"H",IF(D429&lt;=19,"L","A")),IF(D429&lt;=50,"L","A"))),""))))</f>
        <v/>
      </c>
      <c r="J429" s="7">
        <f>CONCATENATE(B429,C429)</f>
        <v/>
      </c>
      <c r="K429" s="9">
        <f>IF(OR(H429="",H429=0),L429,H429)</f>
        <v/>
      </c>
      <c r="L429" s="9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 t="n"/>
      <c r="N429" s="115" t="n"/>
      <c r="O429" s="6" t="n"/>
    </row>
    <row r="430">
      <c r="A430" s="112" t="n"/>
      <c r="B430" s="4" t="n"/>
      <c r="C430" s="4" t="n"/>
      <c r="D430" s="7" t="n"/>
      <c r="E430" s="7" t="n"/>
      <c r="F430" s="8">
        <f>IF(ISBLANK(B430),"",IF(I430="L","Baixa",IF(I430="A","Média",IF(I430="","","Alta"))))</f>
        <v/>
      </c>
      <c r="G430" s="7">
        <f>CONCATENATE(B430,I430)</f>
        <v/>
      </c>
      <c r="H430" s="5">
        <f>IF(ISBLANK(B430),"",IF(B430="ALI",IF(I430="L",7,IF(I430="A",10,15)),IF(B430="AIE",IF(I430="L",5,IF(I430="A",7,10)),IF(B430="SE",IF(I430="L",4,IF(I430="A",5,7)),IF(OR(B430="EE",B430="CE"),IF(I430="L",3,IF(I430="A",4,6)),0)))))</f>
        <v/>
      </c>
      <c r="I430" s="110">
        <f>IF(OR(ISBLANK(D430),ISBLANK(E430)),IF(OR(B430="ALI",B430="AIE"),"L",IF(OR(B430="EE",B430="SE",B430="CE"),"A","")),IF(B430="EE",IF(E430&gt;=3,IF(D430&gt;=5,"H","A"),IF(E430&gt;=2,IF(D430&gt;=16,"H",IF(D430&lt;=4,"L","A")),IF(D430&lt;=15,"L","A"))),IF(OR(B430="SE",B430="CE"),IF(E430&gt;=4,IF(D430&gt;=6,"H","A"),IF(E430&gt;=2,IF(D430&gt;=20,"H",IF(D430&lt;=5,"L","A")),IF(D430&lt;=19,"L","A"))),IF(OR(B430="ALI",B430="AIE"),IF(E430&gt;=6,IF(D430&gt;=20,"H","A"),IF(E430&gt;=2,IF(D430&gt;=51,"H",IF(D430&lt;=19,"L","A")),IF(D430&lt;=50,"L","A"))),""))))</f>
        <v/>
      </c>
      <c r="J430" s="7">
        <f>CONCATENATE(B430,C430)</f>
        <v/>
      </c>
      <c r="K430" s="9">
        <f>IF(OR(H430="",H430=0),L430,H430)</f>
        <v/>
      </c>
      <c r="L430" s="9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 t="n"/>
      <c r="N430" s="115" t="n"/>
      <c r="O430" s="6" t="n"/>
    </row>
    <row r="431">
      <c r="A431" s="112" t="n"/>
      <c r="B431" s="4" t="n"/>
      <c r="C431" s="4" t="n"/>
      <c r="D431" s="7" t="n"/>
      <c r="E431" s="7" t="n"/>
      <c r="F431" s="8">
        <f>IF(ISBLANK(B431),"",IF(I431="L","Baixa",IF(I431="A","Média",IF(I431="","","Alta"))))</f>
        <v/>
      </c>
      <c r="G431" s="7">
        <f>CONCATENATE(B431,I431)</f>
        <v/>
      </c>
      <c r="H431" s="5">
        <f>IF(ISBLANK(B431),"",IF(B431="ALI",IF(I431="L",7,IF(I431="A",10,15)),IF(B431="AIE",IF(I431="L",5,IF(I431="A",7,10)),IF(B431="SE",IF(I431="L",4,IF(I431="A",5,7)),IF(OR(B431="EE",B431="CE"),IF(I431="L",3,IF(I431="A",4,6)),0)))))</f>
        <v/>
      </c>
      <c r="I431" s="110">
        <f>IF(OR(ISBLANK(D431),ISBLANK(E431)),IF(OR(B431="ALI",B431="AIE"),"L",IF(OR(B431="EE",B431="SE",B431="CE"),"A","")),IF(B431="EE",IF(E431&gt;=3,IF(D431&gt;=5,"H","A"),IF(E431&gt;=2,IF(D431&gt;=16,"H",IF(D431&lt;=4,"L","A")),IF(D431&lt;=15,"L","A"))),IF(OR(B431="SE",B431="CE"),IF(E431&gt;=4,IF(D431&gt;=6,"H","A"),IF(E431&gt;=2,IF(D431&gt;=20,"H",IF(D431&lt;=5,"L","A")),IF(D431&lt;=19,"L","A"))),IF(OR(B431="ALI",B431="AIE"),IF(E431&gt;=6,IF(D431&gt;=20,"H","A"),IF(E431&gt;=2,IF(D431&gt;=51,"H",IF(D431&lt;=19,"L","A")),IF(D431&lt;=50,"L","A"))),""))))</f>
        <v/>
      </c>
      <c r="J431" s="7">
        <f>CONCATENATE(B431,C431)</f>
        <v/>
      </c>
      <c r="K431" s="9">
        <f>IF(OR(H431="",H431=0),L431,H431)</f>
        <v/>
      </c>
      <c r="L431" s="9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 t="n"/>
      <c r="N431" s="115" t="n"/>
      <c r="O431" s="6" t="n"/>
    </row>
    <row r="432">
      <c r="A432" s="112" t="n"/>
      <c r="B432" s="4" t="n"/>
      <c r="C432" s="4" t="n"/>
      <c r="D432" s="7" t="n"/>
      <c r="E432" s="7" t="n"/>
      <c r="F432" s="8">
        <f>IF(ISBLANK(B432),"",IF(I432="L","Baixa",IF(I432="A","Média",IF(I432="","","Alta"))))</f>
        <v/>
      </c>
      <c r="G432" s="7">
        <f>CONCATENATE(B432,I432)</f>
        <v/>
      </c>
      <c r="H432" s="5">
        <f>IF(ISBLANK(B432),"",IF(B432="ALI",IF(I432="L",7,IF(I432="A",10,15)),IF(B432="AIE",IF(I432="L",5,IF(I432="A",7,10)),IF(B432="SE",IF(I432="L",4,IF(I432="A",5,7)),IF(OR(B432="EE",B432="CE"),IF(I432="L",3,IF(I432="A",4,6)),0)))))</f>
        <v/>
      </c>
      <c r="I432" s="110">
        <f>IF(OR(ISBLANK(D432),ISBLANK(E432)),IF(OR(B432="ALI",B432="AIE"),"L",IF(OR(B432="EE",B432="SE",B432="CE"),"A","")),IF(B432="EE",IF(E432&gt;=3,IF(D432&gt;=5,"H","A"),IF(E432&gt;=2,IF(D432&gt;=16,"H",IF(D432&lt;=4,"L","A")),IF(D432&lt;=15,"L","A"))),IF(OR(B432="SE",B432="CE"),IF(E432&gt;=4,IF(D432&gt;=6,"H","A"),IF(E432&gt;=2,IF(D432&gt;=20,"H",IF(D432&lt;=5,"L","A")),IF(D432&lt;=19,"L","A"))),IF(OR(B432="ALI",B432="AIE"),IF(E432&gt;=6,IF(D432&gt;=20,"H","A"),IF(E432&gt;=2,IF(D432&gt;=51,"H",IF(D432&lt;=19,"L","A")),IF(D432&lt;=50,"L","A"))),""))))</f>
        <v/>
      </c>
      <c r="J432" s="7">
        <f>CONCATENATE(B432,C432)</f>
        <v/>
      </c>
      <c r="K432" s="9">
        <f>IF(OR(H432="",H432=0),L432,H432)</f>
        <v/>
      </c>
      <c r="L432" s="9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 t="n"/>
      <c r="N432" s="115" t="n"/>
      <c r="O432" s="6" t="n"/>
    </row>
    <row r="433">
      <c r="A433" s="112" t="n"/>
      <c r="B433" s="4" t="n"/>
      <c r="C433" s="4" t="n"/>
      <c r="D433" s="7" t="n"/>
      <c r="E433" s="7" t="n"/>
      <c r="F433" s="8">
        <f>IF(ISBLANK(B433),"",IF(I433="L","Baixa",IF(I433="A","Média",IF(I433="","","Alta"))))</f>
        <v/>
      </c>
      <c r="G433" s="7">
        <f>CONCATENATE(B433,I433)</f>
        <v/>
      </c>
      <c r="H433" s="5">
        <f>IF(ISBLANK(B433),"",IF(B433="ALI",IF(I433="L",7,IF(I433="A",10,15)),IF(B433="AIE",IF(I433="L",5,IF(I433="A",7,10)),IF(B433="SE",IF(I433="L",4,IF(I433="A",5,7)),IF(OR(B433="EE",B433="CE"),IF(I433="L",3,IF(I433="A",4,6)),0)))))</f>
        <v/>
      </c>
      <c r="I433" s="110">
        <f>IF(OR(ISBLANK(D433),ISBLANK(E433)),IF(OR(B433="ALI",B433="AIE"),"L",IF(OR(B433="EE",B433="SE",B433="CE"),"A","")),IF(B433="EE",IF(E433&gt;=3,IF(D433&gt;=5,"H","A"),IF(E433&gt;=2,IF(D433&gt;=16,"H",IF(D433&lt;=4,"L","A")),IF(D433&lt;=15,"L","A"))),IF(OR(B433="SE",B433="CE"),IF(E433&gt;=4,IF(D433&gt;=6,"H","A"),IF(E433&gt;=2,IF(D433&gt;=20,"H",IF(D433&lt;=5,"L","A")),IF(D433&lt;=19,"L","A"))),IF(OR(B433="ALI",B433="AIE"),IF(E433&gt;=6,IF(D433&gt;=20,"H","A"),IF(E433&gt;=2,IF(D433&gt;=51,"H",IF(D433&lt;=19,"L","A")),IF(D433&lt;=50,"L","A"))),""))))</f>
        <v/>
      </c>
      <c r="J433" s="7">
        <f>CONCATENATE(B433,C433)</f>
        <v/>
      </c>
      <c r="K433" s="9">
        <f>IF(OR(H433="",H433=0),L433,H433)</f>
        <v/>
      </c>
      <c r="L433" s="9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 t="n"/>
      <c r="N433" s="115" t="n"/>
      <c r="O433" s="6" t="n"/>
    </row>
    <row r="434">
      <c r="A434" s="112" t="n"/>
      <c r="B434" s="4" t="n"/>
      <c r="C434" s="4" t="n"/>
      <c r="D434" s="7" t="n"/>
      <c r="E434" s="7" t="n"/>
      <c r="F434" s="8">
        <f>IF(ISBLANK(B434),"",IF(I434="L","Baixa",IF(I434="A","Média",IF(I434="","","Alta"))))</f>
        <v/>
      </c>
      <c r="G434" s="7">
        <f>CONCATENATE(B434,I434)</f>
        <v/>
      </c>
      <c r="H434" s="5">
        <f>IF(ISBLANK(B434),"",IF(B434="ALI",IF(I434="L",7,IF(I434="A",10,15)),IF(B434="AIE",IF(I434="L",5,IF(I434="A",7,10)),IF(B434="SE",IF(I434="L",4,IF(I434="A",5,7)),IF(OR(B434="EE",B434="CE"),IF(I434="L",3,IF(I434="A",4,6)),0)))))</f>
        <v/>
      </c>
      <c r="I434" s="110">
        <f>IF(OR(ISBLANK(D434),ISBLANK(E434)),IF(OR(B434="ALI",B434="AIE"),"L",IF(OR(B434="EE",B434="SE",B434="CE"),"A","")),IF(B434="EE",IF(E434&gt;=3,IF(D434&gt;=5,"H","A"),IF(E434&gt;=2,IF(D434&gt;=16,"H",IF(D434&lt;=4,"L","A")),IF(D434&lt;=15,"L","A"))),IF(OR(B434="SE",B434="CE"),IF(E434&gt;=4,IF(D434&gt;=6,"H","A"),IF(E434&gt;=2,IF(D434&gt;=20,"H",IF(D434&lt;=5,"L","A")),IF(D434&lt;=19,"L","A"))),IF(OR(B434="ALI",B434="AIE"),IF(E434&gt;=6,IF(D434&gt;=20,"H","A"),IF(E434&gt;=2,IF(D434&gt;=51,"H",IF(D434&lt;=19,"L","A")),IF(D434&lt;=50,"L","A"))),""))))</f>
        <v/>
      </c>
      <c r="J434" s="7">
        <f>CONCATENATE(B434,C434)</f>
        <v/>
      </c>
      <c r="K434" s="9">
        <f>IF(OR(H434="",H434=0),L434,H434)</f>
        <v/>
      </c>
      <c r="L434" s="9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 t="n"/>
      <c r="N434" s="115" t="n"/>
      <c r="O434" s="6" t="n"/>
    </row>
    <row r="435">
      <c r="A435" s="112" t="n"/>
      <c r="B435" s="4" t="n"/>
      <c r="C435" s="4" t="n"/>
      <c r="D435" s="7" t="n"/>
      <c r="E435" s="7" t="n"/>
      <c r="F435" s="8">
        <f>IF(ISBLANK(B435),"",IF(I435="L","Baixa",IF(I435="A","Média",IF(I435="","","Alta"))))</f>
        <v/>
      </c>
      <c r="G435" s="7">
        <f>CONCATENATE(B435,I435)</f>
        <v/>
      </c>
      <c r="H435" s="5">
        <f>IF(ISBLANK(B435),"",IF(B435="ALI",IF(I435="L",7,IF(I435="A",10,15)),IF(B435="AIE",IF(I435="L",5,IF(I435="A",7,10)),IF(B435="SE",IF(I435="L",4,IF(I435="A",5,7)),IF(OR(B435="EE",B435="CE"),IF(I435="L",3,IF(I435="A",4,6)),0)))))</f>
        <v/>
      </c>
      <c r="I435" s="110">
        <f>IF(OR(ISBLANK(D435),ISBLANK(E435)),IF(OR(B435="ALI",B435="AIE"),"L",IF(OR(B435="EE",B435="SE",B435="CE"),"A","")),IF(B435="EE",IF(E435&gt;=3,IF(D435&gt;=5,"H","A"),IF(E435&gt;=2,IF(D435&gt;=16,"H",IF(D435&lt;=4,"L","A")),IF(D435&lt;=15,"L","A"))),IF(OR(B435="SE",B435="CE"),IF(E435&gt;=4,IF(D435&gt;=6,"H","A"),IF(E435&gt;=2,IF(D435&gt;=20,"H",IF(D435&lt;=5,"L","A")),IF(D435&lt;=19,"L","A"))),IF(OR(B435="ALI",B435="AIE"),IF(E435&gt;=6,IF(D435&gt;=20,"H","A"),IF(E435&gt;=2,IF(D435&gt;=51,"H",IF(D435&lt;=19,"L","A")),IF(D435&lt;=50,"L","A"))),""))))</f>
        <v/>
      </c>
      <c r="J435" s="7">
        <f>CONCATENATE(B435,C435)</f>
        <v/>
      </c>
      <c r="K435" s="9">
        <f>IF(OR(H435="",H435=0),L435,H435)</f>
        <v/>
      </c>
      <c r="L435" s="9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 t="n"/>
      <c r="N435" s="115" t="n"/>
      <c r="O435" s="6" t="n"/>
    </row>
    <row r="436">
      <c r="A436" s="112" t="n"/>
      <c r="B436" s="4" t="n"/>
      <c r="C436" s="4" t="n"/>
      <c r="D436" s="7" t="n"/>
      <c r="E436" s="7" t="n"/>
      <c r="F436" s="8">
        <f>IF(ISBLANK(B436),"",IF(I436="L","Baixa",IF(I436="A","Média",IF(I436="","","Alta"))))</f>
        <v/>
      </c>
      <c r="G436" s="7">
        <f>CONCATENATE(B436,I436)</f>
        <v/>
      </c>
      <c r="H436" s="5">
        <f>IF(ISBLANK(B436),"",IF(B436="ALI",IF(I436="L",7,IF(I436="A",10,15)),IF(B436="AIE",IF(I436="L",5,IF(I436="A",7,10)),IF(B436="SE",IF(I436="L",4,IF(I436="A",5,7)),IF(OR(B436="EE",B436="CE"),IF(I436="L",3,IF(I436="A",4,6)),0)))))</f>
        <v/>
      </c>
      <c r="I436" s="110">
        <f>IF(OR(ISBLANK(D436),ISBLANK(E436)),IF(OR(B436="ALI",B436="AIE"),"L",IF(OR(B436="EE",B436="SE",B436="CE"),"A","")),IF(B436="EE",IF(E436&gt;=3,IF(D436&gt;=5,"H","A"),IF(E436&gt;=2,IF(D436&gt;=16,"H",IF(D436&lt;=4,"L","A")),IF(D436&lt;=15,"L","A"))),IF(OR(B436="SE",B436="CE"),IF(E436&gt;=4,IF(D436&gt;=6,"H","A"),IF(E436&gt;=2,IF(D436&gt;=20,"H",IF(D436&lt;=5,"L","A")),IF(D436&lt;=19,"L","A"))),IF(OR(B436="ALI",B436="AIE"),IF(E436&gt;=6,IF(D436&gt;=20,"H","A"),IF(E436&gt;=2,IF(D436&gt;=51,"H",IF(D436&lt;=19,"L","A")),IF(D436&lt;=50,"L","A"))),""))))</f>
        <v/>
      </c>
      <c r="J436" s="7">
        <f>CONCATENATE(B436,C436)</f>
        <v/>
      </c>
      <c r="K436" s="9">
        <f>IF(OR(H436="",H436=0),L436,H436)</f>
        <v/>
      </c>
      <c r="L436" s="9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 t="n"/>
      <c r="N436" s="115" t="n"/>
      <c r="O436" s="6" t="n"/>
    </row>
    <row r="437">
      <c r="A437" s="112" t="n"/>
      <c r="B437" s="4" t="n"/>
      <c r="C437" s="4" t="n"/>
      <c r="D437" s="7" t="n"/>
      <c r="E437" s="7" t="n"/>
      <c r="F437" s="8">
        <f>IF(ISBLANK(B437),"",IF(I437="L","Baixa",IF(I437="A","Média",IF(I437="","","Alta"))))</f>
        <v/>
      </c>
      <c r="G437" s="7">
        <f>CONCATENATE(B437,I437)</f>
        <v/>
      </c>
      <c r="H437" s="5">
        <f>IF(ISBLANK(B437),"",IF(B437="ALI",IF(I437="L",7,IF(I437="A",10,15)),IF(B437="AIE",IF(I437="L",5,IF(I437="A",7,10)),IF(B437="SE",IF(I437="L",4,IF(I437="A",5,7)),IF(OR(B437="EE",B437="CE"),IF(I437="L",3,IF(I437="A",4,6)),0)))))</f>
        <v/>
      </c>
      <c r="I437" s="110">
        <f>IF(OR(ISBLANK(D437),ISBLANK(E437)),IF(OR(B437="ALI",B437="AIE"),"L",IF(OR(B437="EE",B437="SE",B437="CE"),"A","")),IF(B437="EE",IF(E437&gt;=3,IF(D437&gt;=5,"H","A"),IF(E437&gt;=2,IF(D437&gt;=16,"H",IF(D437&lt;=4,"L","A")),IF(D437&lt;=15,"L","A"))),IF(OR(B437="SE",B437="CE"),IF(E437&gt;=4,IF(D437&gt;=6,"H","A"),IF(E437&gt;=2,IF(D437&gt;=20,"H",IF(D437&lt;=5,"L","A")),IF(D437&lt;=19,"L","A"))),IF(OR(B437="ALI",B437="AIE"),IF(E437&gt;=6,IF(D437&gt;=20,"H","A"),IF(E437&gt;=2,IF(D437&gt;=51,"H",IF(D437&lt;=19,"L","A")),IF(D437&lt;=50,"L","A"))),""))))</f>
        <v/>
      </c>
      <c r="J437" s="7">
        <f>CONCATENATE(B437,C437)</f>
        <v/>
      </c>
      <c r="K437" s="9">
        <f>IF(OR(H437="",H437=0),L437,H437)</f>
        <v/>
      </c>
      <c r="L437" s="9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 t="n"/>
      <c r="N437" s="115" t="n"/>
      <c r="O437" s="6" t="n"/>
    </row>
    <row r="438">
      <c r="A438" s="112" t="n"/>
      <c r="B438" s="4" t="n"/>
      <c r="C438" s="4" t="n"/>
      <c r="D438" s="7" t="n"/>
      <c r="E438" s="7" t="n"/>
      <c r="F438" s="8">
        <f>IF(ISBLANK(B438),"",IF(I438="L","Baixa",IF(I438="A","Média",IF(I438="","","Alta"))))</f>
        <v/>
      </c>
      <c r="G438" s="7">
        <f>CONCATENATE(B438,I438)</f>
        <v/>
      </c>
      <c r="H438" s="5">
        <f>IF(ISBLANK(B438),"",IF(B438="ALI",IF(I438="L",7,IF(I438="A",10,15)),IF(B438="AIE",IF(I438="L",5,IF(I438="A",7,10)),IF(B438="SE",IF(I438="L",4,IF(I438="A",5,7)),IF(OR(B438="EE",B438="CE"),IF(I438="L",3,IF(I438="A",4,6)),0)))))</f>
        <v/>
      </c>
      <c r="I438" s="110">
        <f>IF(OR(ISBLANK(D438),ISBLANK(E438)),IF(OR(B438="ALI",B438="AIE"),"L",IF(OR(B438="EE",B438="SE",B438="CE"),"A","")),IF(B438="EE",IF(E438&gt;=3,IF(D438&gt;=5,"H","A"),IF(E438&gt;=2,IF(D438&gt;=16,"H",IF(D438&lt;=4,"L","A")),IF(D438&lt;=15,"L","A"))),IF(OR(B438="SE",B438="CE"),IF(E438&gt;=4,IF(D438&gt;=6,"H","A"),IF(E438&gt;=2,IF(D438&gt;=20,"H",IF(D438&lt;=5,"L","A")),IF(D438&lt;=19,"L","A"))),IF(OR(B438="ALI",B438="AIE"),IF(E438&gt;=6,IF(D438&gt;=20,"H","A"),IF(E438&gt;=2,IF(D438&gt;=51,"H",IF(D438&lt;=19,"L","A")),IF(D438&lt;=50,"L","A"))),""))))</f>
        <v/>
      </c>
      <c r="J438" s="7">
        <f>CONCATENATE(B438,C438)</f>
        <v/>
      </c>
      <c r="K438" s="9">
        <f>IF(OR(H438="",H438=0),L438,H438)</f>
        <v/>
      </c>
      <c r="L438" s="9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 t="n"/>
      <c r="N438" s="115" t="n"/>
      <c r="O438" s="6" t="n"/>
    </row>
    <row r="439">
      <c r="A439" s="112" t="n"/>
      <c r="B439" s="4" t="n"/>
      <c r="C439" s="4" t="n"/>
      <c r="D439" s="7" t="n"/>
      <c r="E439" s="7" t="n"/>
      <c r="F439" s="8">
        <f>IF(ISBLANK(B439),"",IF(I439="L","Baixa",IF(I439="A","Média",IF(I439="","","Alta"))))</f>
        <v/>
      </c>
      <c r="G439" s="7">
        <f>CONCATENATE(B439,I439)</f>
        <v/>
      </c>
      <c r="H439" s="5">
        <f>IF(ISBLANK(B439),"",IF(B439="ALI",IF(I439="L",7,IF(I439="A",10,15)),IF(B439="AIE",IF(I439="L",5,IF(I439="A",7,10)),IF(B439="SE",IF(I439="L",4,IF(I439="A",5,7)),IF(OR(B439="EE",B439="CE"),IF(I439="L",3,IF(I439="A",4,6)),0)))))</f>
        <v/>
      </c>
      <c r="I439" s="110">
        <f>IF(OR(ISBLANK(D439),ISBLANK(E439)),IF(OR(B439="ALI",B439="AIE"),"L",IF(OR(B439="EE",B439="SE",B439="CE"),"A","")),IF(B439="EE",IF(E439&gt;=3,IF(D439&gt;=5,"H","A"),IF(E439&gt;=2,IF(D439&gt;=16,"H",IF(D439&lt;=4,"L","A")),IF(D439&lt;=15,"L","A"))),IF(OR(B439="SE",B439="CE"),IF(E439&gt;=4,IF(D439&gt;=6,"H","A"),IF(E439&gt;=2,IF(D439&gt;=20,"H",IF(D439&lt;=5,"L","A")),IF(D439&lt;=19,"L","A"))),IF(OR(B439="ALI",B439="AIE"),IF(E439&gt;=6,IF(D439&gt;=20,"H","A"),IF(E439&gt;=2,IF(D439&gt;=51,"H",IF(D439&lt;=19,"L","A")),IF(D439&lt;=50,"L","A"))),""))))</f>
        <v/>
      </c>
      <c r="J439" s="7">
        <f>CONCATENATE(B439,C439)</f>
        <v/>
      </c>
      <c r="K439" s="9">
        <f>IF(OR(H439="",H439=0),L439,H439)</f>
        <v/>
      </c>
      <c r="L439" s="9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 t="n"/>
      <c r="N439" s="115" t="n"/>
      <c r="O439" s="6" t="n"/>
    </row>
    <row r="440">
      <c r="A440" s="112" t="n"/>
      <c r="B440" s="4" t="n"/>
      <c r="C440" s="4" t="n"/>
      <c r="D440" s="7" t="n"/>
      <c r="E440" s="7" t="n"/>
      <c r="F440" s="8">
        <f>IF(ISBLANK(B440),"",IF(I440="L","Baixa",IF(I440="A","Média",IF(I440="","","Alta"))))</f>
        <v/>
      </c>
      <c r="G440" s="7">
        <f>CONCATENATE(B440,I440)</f>
        <v/>
      </c>
      <c r="H440" s="5">
        <f>IF(ISBLANK(B440),"",IF(B440="ALI",IF(I440="L",7,IF(I440="A",10,15)),IF(B440="AIE",IF(I440="L",5,IF(I440="A",7,10)),IF(B440="SE",IF(I440="L",4,IF(I440="A",5,7)),IF(OR(B440="EE",B440="CE"),IF(I440="L",3,IF(I440="A",4,6)),0)))))</f>
        <v/>
      </c>
      <c r="I440" s="110">
        <f>IF(OR(ISBLANK(D440),ISBLANK(E440)),IF(OR(B440="ALI",B440="AIE"),"L",IF(OR(B440="EE",B440="SE",B440="CE"),"A","")),IF(B440="EE",IF(E440&gt;=3,IF(D440&gt;=5,"H","A"),IF(E440&gt;=2,IF(D440&gt;=16,"H",IF(D440&lt;=4,"L","A")),IF(D440&lt;=15,"L","A"))),IF(OR(B440="SE",B440="CE"),IF(E440&gt;=4,IF(D440&gt;=6,"H","A"),IF(E440&gt;=2,IF(D440&gt;=20,"H",IF(D440&lt;=5,"L","A")),IF(D440&lt;=19,"L","A"))),IF(OR(B440="ALI",B440="AIE"),IF(E440&gt;=6,IF(D440&gt;=20,"H","A"),IF(E440&gt;=2,IF(D440&gt;=51,"H",IF(D440&lt;=19,"L","A")),IF(D440&lt;=50,"L","A"))),""))))</f>
        <v/>
      </c>
      <c r="J440" s="7">
        <f>CONCATENATE(B440,C440)</f>
        <v/>
      </c>
      <c r="K440" s="9">
        <f>IF(OR(H440="",H440=0),L440,H440)</f>
        <v/>
      </c>
      <c r="L440" s="9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 t="n"/>
      <c r="N440" s="115" t="n"/>
      <c r="O440" s="6" t="n"/>
    </row>
    <row r="441">
      <c r="A441" s="112" t="n"/>
      <c r="B441" s="4" t="n"/>
      <c r="C441" s="4" t="n"/>
      <c r="D441" s="7" t="n"/>
      <c r="E441" s="7" t="n"/>
      <c r="F441" s="8">
        <f>IF(ISBLANK(B441),"",IF(I441="L","Baixa",IF(I441="A","Média",IF(I441="","","Alta"))))</f>
        <v/>
      </c>
      <c r="G441" s="7">
        <f>CONCATENATE(B441,I441)</f>
        <v/>
      </c>
      <c r="H441" s="5">
        <f>IF(ISBLANK(B441),"",IF(B441="ALI",IF(I441="L",7,IF(I441="A",10,15)),IF(B441="AIE",IF(I441="L",5,IF(I441="A",7,10)),IF(B441="SE",IF(I441="L",4,IF(I441="A",5,7)),IF(OR(B441="EE",B441="CE"),IF(I441="L",3,IF(I441="A",4,6)),0)))))</f>
        <v/>
      </c>
      <c r="I441" s="110">
        <f>IF(OR(ISBLANK(D441),ISBLANK(E441)),IF(OR(B441="ALI",B441="AIE"),"L",IF(OR(B441="EE",B441="SE",B441="CE"),"A","")),IF(B441="EE",IF(E441&gt;=3,IF(D441&gt;=5,"H","A"),IF(E441&gt;=2,IF(D441&gt;=16,"H",IF(D441&lt;=4,"L","A")),IF(D441&lt;=15,"L","A"))),IF(OR(B441="SE",B441="CE"),IF(E441&gt;=4,IF(D441&gt;=6,"H","A"),IF(E441&gt;=2,IF(D441&gt;=20,"H",IF(D441&lt;=5,"L","A")),IF(D441&lt;=19,"L","A"))),IF(OR(B441="ALI",B441="AIE"),IF(E441&gt;=6,IF(D441&gt;=20,"H","A"),IF(E441&gt;=2,IF(D441&gt;=51,"H",IF(D441&lt;=19,"L","A")),IF(D441&lt;=50,"L","A"))),""))))</f>
        <v/>
      </c>
      <c r="J441" s="7">
        <f>CONCATENATE(B441,C441)</f>
        <v/>
      </c>
      <c r="K441" s="9">
        <f>IF(OR(H441="",H441=0),L441,H441)</f>
        <v/>
      </c>
      <c r="L441" s="9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 t="n"/>
      <c r="N441" s="115" t="n"/>
      <c r="O441" s="6" t="n"/>
    </row>
    <row r="442">
      <c r="A442" s="112" t="n"/>
      <c r="B442" s="4" t="n"/>
      <c r="C442" s="4" t="n"/>
      <c r="D442" s="7" t="n"/>
      <c r="E442" s="7" t="n"/>
      <c r="F442" s="8">
        <f>IF(ISBLANK(B442),"",IF(I442="L","Baixa",IF(I442="A","Média",IF(I442="","","Alta"))))</f>
        <v/>
      </c>
      <c r="G442" s="7">
        <f>CONCATENATE(B442,I442)</f>
        <v/>
      </c>
      <c r="H442" s="5">
        <f>IF(ISBLANK(B442),"",IF(B442="ALI",IF(I442="L",7,IF(I442="A",10,15)),IF(B442="AIE",IF(I442="L",5,IF(I442="A",7,10)),IF(B442="SE",IF(I442="L",4,IF(I442="A",5,7)),IF(OR(B442="EE",B442="CE"),IF(I442="L",3,IF(I442="A",4,6)),0)))))</f>
        <v/>
      </c>
      <c r="I442" s="110">
        <f>IF(OR(ISBLANK(D442),ISBLANK(E442)),IF(OR(B442="ALI",B442="AIE"),"L",IF(OR(B442="EE",B442="SE",B442="CE"),"A","")),IF(B442="EE",IF(E442&gt;=3,IF(D442&gt;=5,"H","A"),IF(E442&gt;=2,IF(D442&gt;=16,"H",IF(D442&lt;=4,"L","A")),IF(D442&lt;=15,"L","A"))),IF(OR(B442="SE",B442="CE"),IF(E442&gt;=4,IF(D442&gt;=6,"H","A"),IF(E442&gt;=2,IF(D442&gt;=20,"H",IF(D442&lt;=5,"L","A")),IF(D442&lt;=19,"L","A"))),IF(OR(B442="ALI",B442="AIE"),IF(E442&gt;=6,IF(D442&gt;=20,"H","A"),IF(E442&gt;=2,IF(D442&gt;=51,"H",IF(D442&lt;=19,"L","A")),IF(D442&lt;=50,"L","A"))),""))))</f>
        <v/>
      </c>
      <c r="J442" s="7">
        <f>CONCATENATE(B442,C442)</f>
        <v/>
      </c>
      <c r="K442" s="9">
        <f>IF(OR(H442="",H442=0),L442,H442)</f>
        <v/>
      </c>
      <c r="L442" s="9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 t="n"/>
      <c r="N442" s="115" t="n"/>
      <c r="O442" s="6" t="n"/>
    </row>
    <row r="443">
      <c r="A443" s="112" t="n"/>
      <c r="B443" s="4" t="n"/>
      <c r="C443" s="4" t="n"/>
      <c r="D443" s="7" t="n"/>
      <c r="E443" s="7" t="n"/>
      <c r="F443" s="8">
        <f>IF(ISBLANK(B443),"",IF(I443="L","Baixa",IF(I443="A","Média",IF(I443="","","Alta"))))</f>
        <v/>
      </c>
      <c r="G443" s="7">
        <f>CONCATENATE(B443,I443)</f>
        <v/>
      </c>
      <c r="H443" s="5">
        <f>IF(ISBLANK(B443),"",IF(B443="ALI",IF(I443="L",7,IF(I443="A",10,15)),IF(B443="AIE",IF(I443="L",5,IF(I443="A",7,10)),IF(B443="SE",IF(I443="L",4,IF(I443="A",5,7)),IF(OR(B443="EE",B443="CE"),IF(I443="L",3,IF(I443="A",4,6)),0)))))</f>
        <v/>
      </c>
      <c r="I443" s="110">
        <f>IF(OR(ISBLANK(D443),ISBLANK(E443)),IF(OR(B443="ALI",B443="AIE"),"L",IF(OR(B443="EE",B443="SE",B443="CE"),"A","")),IF(B443="EE",IF(E443&gt;=3,IF(D443&gt;=5,"H","A"),IF(E443&gt;=2,IF(D443&gt;=16,"H",IF(D443&lt;=4,"L","A")),IF(D443&lt;=15,"L","A"))),IF(OR(B443="SE",B443="CE"),IF(E443&gt;=4,IF(D443&gt;=6,"H","A"),IF(E443&gt;=2,IF(D443&gt;=20,"H",IF(D443&lt;=5,"L","A")),IF(D443&lt;=19,"L","A"))),IF(OR(B443="ALI",B443="AIE"),IF(E443&gt;=6,IF(D443&gt;=20,"H","A"),IF(E443&gt;=2,IF(D443&gt;=51,"H",IF(D443&lt;=19,"L","A")),IF(D443&lt;=50,"L","A"))),""))))</f>
        <v/>
      </c>
      <c r="J443" s="7">
        <f>CONCATENATE(B443,C443)</f>
        <v/>
      </c>
      <c r="K443" s="9">
        <f>IF(OR(H443="",H443=0),L443,H443)</f>
        <v/>
      </c>
      <c r="L443" s="9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 t="n"/>
      <c r="N443" s="115" t="n"/>
      <c r="O443" s="6" t="n"/>
    </row>
    <row r="444">
      <c r="A444" s="112" t="n"/>
      <c r="B444" s="4" t="n"/>
      <c r="C444" s="4" t="n"/>
      <c r="D444" s="7" t="n"/>
      <c r="E444" s="7" t="n"/>
      <c r="F444" s="8">
        <f>IF(ISBLANK(B444),"",IF(I444="L","Baixa",IF(I444="A","Média",IF(I444="","","Alta"))))</f>
        <v/>
      </c>
      <c r="G444" s="7">
        <f>CONCATENATE(B444,I444)</f>
        <v/>
      </c>
      <c r="H444" s="5">
        <f>IF(ISBLANK(B444),"",IF(B444="ALI",IF(I444="L",7,IF(I444="A",10,15)),IF(B444="AIE",IF(I444="L",5,IF(I444="A",7,10)),IF(B444="SE",IF(I444="L",4,IF(I444="A",5,7)),IF(OR(B444="EE",B444="CE"),IF(I444="L",3,IF(I444="A",4,6)),0)))))</f>
        <v/>
      </c>
      <c r="I444" s="110">
        <f>IF(OR(ISBLANK(D444),ISBLANK(E444)),IF(OR(B444="ALI",B444="AIE"),"L",IF(OR(B444="EE",B444="SE",B444="CE"),"A","")),IF(B444="EE",IF(E444&gt;=3,IF(D444&gt;=5,"H","A"),IF(E444&gt;=2,IF(D444&gt;=16,"H",IF(D444&lt;=4,"L","A")),IF(D444&lt;=15,"L","A"))),IF(OR(B444="SE",B444="CE"),IF(E444&gt;=4,IF(D444&gt;=6,"H","A"),IF(E444&gt;=2,IF(D444&gt;=20,"H",IF(D444&lt;=5,"L","A")),IF(D444&lt;=19,"L","A"))),IF(OR(B444="ALI",B444="AIE"),IF(E444&gt;=6,IF(D444&gt;=20,"H","A"),IF(E444&gt;=2,IF(D444&gt;=51,"H",IF(D444&lt;=19,"L","A")),IF(D444&lt;=50,"L","A"))),""))))</f>
        <v/>
      </c>
      <c r="J444" s="7">
        <f>CONCATENATE(B444,C444)</f>
        <v/>
      </c>
      <c r="K444" s="9">
        <f>IF(OR(H444="",H444=0),L444,H444)</f>
        <v/>
      </c>
      <c r="L444" s="9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 t="n"/>
      <c r="N444" s="115" t="n"/>
      <c r="O444" s="6" t="n"/>
    </row>
    <row r="445">
      <c r="A445" s="112" t="n"/>
      <c r="B445" s="4" t="n"/>
      <c r="C445" s="4" t="n"/>
      <c r="D445" s="7" t="n"/>
      <c r="E445" s="7" t="n"/>
      <c r="F445" s="8">
        <f>IF(ISBLANK(B445),"",IF(I445="L","Baixa",IF(I445="A","Média",IF(I445="","","Alta"))))</f>
        <v/>
      </c>
      <c r="G445" s="7">
        <f>CONCATENATE(B445,I445)</f>
        <v/>
      </c>
      <c r="H445" s="5">
        <f>IF(ISBLANK(B445),"",IF(B445="ALI",IF(I445="L",7,IF(I445="A",10,15)),IF(B445="AIE",IF(I445="L",5,IF(I445="A",7,10)),IF(B445="SE",IF(I445="L",4,IF(I445="A",5,7)),IF(OR(B445="EE",B445="CE"),IF(I445="L",3,IF(I445="A",4,6)),0)))))</f>
        <v/>
      </c>
      <c r="I445" s="110">
        <f>IF(OR(ISBLANK(D445),ISBLANK(E445)),IF(OR(B445="ALI",B445="AIE"),"L",IF(OR(B445="EE",B445="SE",B445="CE"),"A","")),IF(B445="EE",IF(E445&gt;=3,IF(D445&gt;=5,"H","A"),IF(E445&gt;=2,IF(D445&gt;=16,"H",IF(D445&lt;=4,"L","A")),IF(D445&lt;=15,"L","A"))),IF(OR(B445="SE",B445="CE"),IF(E445&gt;=4,IF(D445&gt;=6,"H","A"),IF(E445&gt;=2,IF(D445&gt;=20,"H",IF(D445&lt;=5,"L","A")),IF(D445&lt;=19,"L","A"))),IF(OR(B445="ALI",B445="AIE"),IF(E445&gt;=6,IF(D445&gt;=20,"H","A"),IF(E445&gt;=2,IF(D445&gt;=51,"H",IF(D445&lt;=19,"L","A")),IF(D445&lt;=50,"L","A"))),""))))</f>
        <v/>
      </c>
      <c r="J445" s="7">
        <f>CONCATENATE(B445,C445)</f>
        <v/>
      </c>
      <c r="K445" s="9">
        <f>IF(OR(H445="",H445=0),L445,H445)</f>
        <v/>
      </c>
      <c r="L445" s="9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 t="n"/>
      <c r="N445" s="115" t="n"/>
      <c r="O445" s="6" t="n"/>
    </row>
    <row r="446">
      <c r="A446" s="112" t="n"/>
      <c r="B446" s="4" t="n"/>
      <c r="C446" s="4" t="n"/>
      <c r="D446" s="7" t="n"/>
      <c r="E446" s="7" t="n"/>
      <c r="F446" s="8">
        <f>IF(ISBLANK(B446),"",IF(I446="L","Baixa",IF(I446="A","Média",IF(I446="","","Alta"))))</f>
        <v/>
      </c>
      <c r="G446" s="7">
        <f>CONCATENATE(B446,I446)</f>
        <v/>
      </c>
      <c r="H446" s="5">
        <f>IF(ISBLANK(B446),"",IF(B446="ALI",IF(I446="L",7,IF(I446="A",10,15)),IF(B446="AIE",IF(I446="L",5,IF(I446="A",7,10)),IF(B446="SE",IF(I446="L",4,IF(I446="A",5,7)),IF(OR(B446="EE",B446="CE"),IF(I446="L",3,IF(I446="A",4,6)),0)))))</f>
        <v/>
      </c>
      <c r="I446" s="110">
        <f>IF(OR(ISBLANK(D446),ISBLANK(E446)),IF(OR(B446="ALI",B446="AIE"),"L",IF(OR(B446="EE",B446="SE",B446="CE"),"A","")),IF(B446="EE",IF(E446&gt;=3,IF(D446&gt;=5,"H","A"),IF(E446&gt;=2,IF(D446&gt;=16,"H",IF(D446&lt;=4,"L","A")),IF(D446&lt;=15,"L","A"))),IF(OR(B446="SE",B446="CE"),IF(E446&gt;=4,IF(D446&gt;=6,"H","A"),IF(E446&gt;=2,IF(D446&gt;=20,"H",IF(D446&lt;=5,"L","A")),IF(D446&lt;=19,"L","A"))),IF(OR(B446="ALI",B446="AIE"),IF(E446&gt;=6,IF(D446&gt;=20,"H","A"),IF(E446&gt;=2,IF(D446&gt;=51,"H",IF(D446&lt;=19,"L","A")),IF(D446&lt;=50,"L","A"))),""))))</f>
        <v/>
      </c>
      <c r="J446" s="7">
        <f>CONCATENATE(B446,C446)</f>
        <v/>
      </c>
      <c r="K446" s="9">
        <f>IF(OR(H446="",H446=0),L446,H446)</f>
        <v/>
      </c>
      <c r="L446" s="9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 t="n"/>
      <c r="N446" s="115" t="n"/>
      <c r="O446" s="6" t="n"/>
    </row>
    <row r="447">
      <c r="A447" s="112" t="n"/>
      <c r="B447" s="4" t="n"/>
      <c r="C447" s="4" t="n"/>
      <c r="D447" s="7" t="n"/>
      <c r="E447" s="7" t="n"/>
      <c r="F447" s="8">
        <f>IF(ISBLANK(B447),"",IF(I447="L","Baixa",IF(I447="A","Média",IF(I447="","","Alta"))))</f>
        <v/>
      </c>
      <c r="G447" s="7">
        <f>CONCATENATE(B447,I447)</f>
        <v/>
      </c>
      <c r="H447" s="5">
        <f>IF(ISBLANK(B447),"",IF(B447="ALI",IF(I447="L",7,IF(I447="A",10,15)),IF(B447="AIE",IF(I447="L",5,IF(I447="A",7,10)),IF(B447="SE",IF(I447="L",4,IF(I447="A",5,7)),IF(OR(B447="EE",B447="CE"),IF(I447="L",3,IF(I447="A",4,6)),0)))))</f>
        <v/>
      </c>
      <c r="I447" s="110">
        <f>IF(OR(ISBLANK(D447),ISBLANK(E447)),IF(OR(B447="ALI",B447="AIE"),"L",IF(OR(B447="EE",B447="SE",B447="CE"),"A","")),IF(B447="EE",IF(E447&gt;=3,IF(D447&gt;=5,"H","A"),IF(E447&gt;=2,IF(D447&gt;=16,"H",IF(D447&lt;=4,"L","A")),IF(D447&lt;=15,"L","A"))),IF(OR(B447="SE",B447="CE"),IF(E447&gt;=4,IF(D447&gt;=6,"H","A"),IF(E447&gt;=2,IF(D447&gt;=20,"H",IF(D447&lt;=5,"L","A")),IF(D447&lt;=19,"L","A"))),IF(OR(B447="ALI",B447="AIE"),IF(E447&gt;=6,IF(D447&gt;=20,"H","A"),IF(E447&gt;=2,IF(D447&gt;=51,"H",IF(D447&lt;=19,"L","A")),IF(D447&lt;=50,"L","A"))),""))))</f>
        <v/>
      </c>
      <c r="J447" s="7">
        <f>CONCATENATE(B447,C447)</f>
        <v/>
      </c>
      <c r="K447" s="9">
        <f>IF(OR(H447="",H447=0),L447,H447)</f>
        <v/>
      </c>
      <c r="L447" s="9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 t="n"/>
      <c r="N447" s="115" t="n"/>
      <c r="O447" s="6" t="n"/>
    </row>
    <row r="448">
      <c r="A448" s="112" t="n"/>
      <c r="B448" s="4" t="n"/>
      <c r="C448" s="4" t="n"/>
      <c r="D448" s="7" t="n"/>
      <c r="E448" s="7" t="n"/>
      <c r="F448" s="8">
        <f>IF(ISBLANK(B448),"",IF(I448="L","Baixa",IF(I448="A","Média",IF(I448="","","Alta"))))</f>
        <v/>
      </c>
      <c r="G448" s="7">
        <f>CONCATENATE(B448,I448)</f>
        <v/>
      </c>
      <c r="H448" s="5">
        <f>IF(ISBLANK(B448),"",IF(B448="ALI",IF(I448="L",7,IF(I448="A",10,15)),IF(B448="AIE",IF(I448="L",5,IF(I448="A",7,10)),IF(B448="SE",IF(I448="L",4,IF(I448="A",5,7)),IF(OR(B448="EE",B448="CE"),IF(I448="L",3,IF(I448="A",4,6)),0)))))</f>
        <v/>
      </c>
      <c r="I448" s="110">
        <f>IF(OR(ISBLANK(D448),ISBLANK(E448)),IF(OR(B448="ALI",B448="AIE"),"L",IF(OR(B448="EE",B448="SE",B448="CE"),"A","")),IF(B448="EE",IF(E448&gt;=3,IF(D448&gt;=5,"H","A"),IF(E448&gt;=2,IF(D448&gt;=16,"H",IF(D448&lt;=4,"L","A")),IF(D448&lt;=15,"L","A"))),IF(OR(B448="SE",B448="CE"),IF(E448&gt;=4,IF(D448&gt;=6,"H","A"),IF(E448&gt;=2,IF(D448&gt;=20,"H",IF(D448&lt;=5,"L","A")),IF(D448&lt;=19,"L","A"))),IF(OR(B448="ALI",B448="AIE"),IF(E448&gt;=6,IF(D448&gt;=20,"H","A"),IF(E448&gt;=2,IF(D448&gt;=51,"H",IF(D448&lt;=19,"L","A")),IF(D448&lt;=50,"L","A"))),""))))</f>
        <v/>
      </c>
      <c r="J448" s="7">
        <f>CONCATENATE(B448,C448)</f>
        <v/>
      </c>
      <c r="K448" s="9">
        <f>IF(OR(H448="",H448=0),L448,H448)</f>
        <v/>
      </c>
      <c r="L448" s="9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 t="n"/>
      <c r="N448" s="115" t="n"/>
      <c r="O448" s="6" t="n"/>
    </row>
    <row r="449">
      <c r="A449" s="112" t="n"/>
      <c r="B449" s="4" t="n"/>
      <c r="C449" s="4" t="n"/>
      <c r="D449" s="7" t="n"/>
      <c r="E449" s="7" t="n"/>
      <c r="F449" s="8">
        <f>IF(ISBLANK(B449),"",IF(I449="L","Baixa",IF(I449="A","Média",IF(I449="","","Alta"))))</f>
        <v/>
      </c>
      <c r="G449" s="7">
        <f>CONCATENATE(B449,I449)</f>
        <v/>
      </c>
      <c r="H449" s="5">
        <f>IF(ISBLANK(B449),"",IF(B449="ALI",IF(I449="L",7,IF(I449="A",10,15)),IF(B449="AIE",IF(I449="L",5,IF(I449="A",7,10)),IF(B449="SE",IF(I449="L",4,IF(I449="A",5,7)),IF(OR(B449="EE",B449="CE"),IF(I449="L",3,IF(I449="A",4,6)),0)))))</f>
        <v/>
      </c>
      <c r="I449" s="110">
        <f>IF(OR(ISBLANK(D449),ISBLANK(E449)),IF(OR(B449="ALI",B449="AIE"),"L",IF(OR(B449="EE",B449="SE",B449="CE"),"A","")),IF(B449="EE",IF(E449&gt;=3,IF(D449&gt;=5,"H","A"),IF(E449&gt;=2,IF(D449&gt;=16,"H",IF(D449&lt;=4,"L","A")),IF(D449&lt;=15,"L","A"))),IF(OR(B449="SE",B449="CE"),IF(E449&gt;=4,IF(D449&gt;=6,"H","A"),IF(E449&gt;=2,IF(D449&gt;=20,"H",IF(D449&lt;=5,"L","A")),IF(D449&lt;=19,"L","A"))),IF(OR(B449="ALI",B449="AIE"),IF(E449&gt;=6,IF(D449&gt;=20,"H","A"),IF(E449&gt;=2,IF(D449&gt;=51,"H",IF(D449&lt;=19,"L","A")),IF(D449&lt;=50,"L","A"))),""))))</f>
        <v/>
      </c>
      <c r="J449" s="7">
        <f>CONCATENATE(B449,C449)</f>
        <v/>
      </c>
      <c r="K449" s="9">
        <f>IF(OR(H449="",H449=0),L449,H449)</f>
        <v/>
      </c>
      <c r="L449" s="9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 t="n"/>
      <c r="N449" s="115" t="n"/>
      <c r="O449" s="6" t="n"/>
    </row>
    <row r="450">
      <c r="A450" s="112" t="n"/>
      <c r="B450" s="4" t="n"/>
      <c r="C450" s="4" t="n"/>
      <c r="D450" s="7" t="n"/>
      <c r="E450" s="7" t="n"/>
      <c r="F450" s="8">
        <f>IF(ISBLANK(B450),"",IF(I450="L","Baixa",IF(I450="A","Média",IF(I450="","","Alta"))))</f>
        <v/>
      </c>
      <c r="G450" s="7">
        <f>CONCATENATE(B450,I450)</f>
        <v/>
      </c>
      <c r="H450" s="5">
        <f>IF(ISBLANK(B450),"",IF(B450="ALI",IF(I450="L",7,IF(I450="A",10,15)),IF(B450="AIE",IF(I450="L",5,IF(I450="A",7,10)),IF(B450="SE",IF(I450="L",4,IF(I450="A",5,7)),IF(OR(B450="EE",B450="CE"),IF(I450="L",3,IF(I450="A",4,6)),0)))))</f>
        <v/>
      </c>
      <c r="I450" s="110">
        <f>IF(OR(ISBLANK(D450),ISBLANK(E450)),IF(OR(B450="ALI",B450="AIE"),"L",IF(OR(B450="EE",B450="SE",B450="CE"),"A","")),IF(B450="EE",IF(E450&gt;=3,IF(D450&gt;=5,"H","A"),IF(E450&gt;=2,IF(D450&gt;=16,"H",IF(D450&lt;=4,"L","A")),IF(D450&lt;=15,"L","A"))),IF(OR(B450="SE",B450="CE"),IF(E450&gt;=4,IF(D450&gt;=6,"H","A"),IF(E450&gt;=2,IF(D450&gt;=20,"H",IF(D450&lt;=5,"L","A")),IF(D450&lt;=19,"L","A"))),IF(OR(B450="ALI",B450="AIE"),IF(E450&gt;=6,IF(D450&gt;=20,"H","A"),IF(E450&gt;=2,IF(D450&gt;=51,"H",IF(D450&lt;=19,"L","A")),IF(D450&lt;=50,"L","A"))),""))))</f>
        <v/>
      </c>
      <c r="J450" s="7">
        <f>CONCATENATE(B450,C450)</f>
        <v/>
      </c>
      <c r="K450" s="9">
        <f>IF(OR(H450="",H450=0),L450,H450)</f>
        <v/>
      </c>
      <c r="L450" s="9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 t="n"/>
      <c r="N450" s="115" t="n"/>
      <c r="O450" s="6" t="n"/>
    </row>
    <row r="451">
      <c r="A451" s="112" t="n"/>
      <c r="B451" s="4" t="n"/>
      <c r="C451" s="4" t="n"/>
      <c r="D451" s="7" t="n"/>
      <c r="E451" s="7" t="n"/>
      <c r="F451" s="8">
        <f>IF(ISBLANK(B451),"",IF(I451="L","Baixa",IF(I451="A","Média",IF(I451="","","Alta"))))</f>
        <v/>
      </c>
      <c r="G451" s="7">
        <f>CONCATENATE(B451,I451)</f>
        <v/>
      </c>
      <c r="H451" s="5">
        <f>IF(ISBLANK(B451),"",IF(B451="ALI",IF(I451="L",7,IF(I451="A",10,15)),IF(B451="AIE",IF(I451="L",5,IF(I451="A",7,10)),IF(B451="SE",IF(I451="L",4,IF(I451="A",5,7)),IF(OR(B451="EE",B451="CE"),IF(I451="L",3,IF(I451="A",4,6)),0)))))</f>
        <v/>
      </c>
      <c r="I451" s="110">
        <f>IF(OR(ISBLANK(D451),ISBLANK(E451)),IF(OR(B451="ALI",B451="AIE"),"L",IF(OR(B451="EE",B451="SE",B451="CE"),"A","")),IF(B451="EE",IF(E451&gt;=3,IF(D451&gt;=5,"H","A"),IF(E451&gt;=2,IF(D451&gt;=16,"H",IF(D451&lt;=4,"L","A")),IF(D451&lt;=15,"L","A"))),IF(OR(B451="SE",B451="CE"),IF(E451&gt;=4,IF(D451&gt;=6,"H","A"),IF(E451&gt;=2,IF(D451&gt;=20,"H",IF(D451&lt;=5,"L","A")),IF(D451&lt;=19,"L","A"))),IF(OR(B451="ALI",B451="AIE"),IF(E451&gt;=6,IF(D451&gt;=20,"H","A"),IF(E451&gt;=2,IF(D451&gt;=51,"H",IF(D451&lt;=19,"L","A")),IF(D451&lt;=50,"L","A"))),""))))</f>
        <v/>
      </c>
      <c r="J451" s="7">
        <f>CONCATENATE(B451,C451)</f>
        <v/>
      </c>
      <c r="K451" s="9">
        <f>IF(OR(H451="",H451=0),L451,H451)</f>
        <v/>
      </c>
      <c r="L451" s="9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 t="n"/>
      <c r="N451" s="115" t="n"/>
      <c r="O451" s="6" t="n"/>
    </row>
    <row r="452">
      <c r="A452" s="112" t="n"/>
      <c r="B452" s="4" t="n"/>
      <c r="C452" s="4" t="n"/>
      <c r="D452" s="7" t="n"/>
      <c r="E452" s="7" t="n"/>
      <c r="F452" s="8">
        <f>IF(ISBLANK(B452),"",IF(I452="L","Baixa",IF(I452="A","Média",IF(I452="","","Alta"))))</f>
        <v/>
      </c>
      <c r="G452" s="7">
        <f>CONCATENATE(B452,I452)</f>
        <v/>
      </c>
      <c r="H452" s="5">
        <f>IF(ISBLANK(B452),"",IF(B452="ALI",IF(I452="L",7,IF(I452="A",10,15)),IF(B452="AIE",IF(I452="L",5,IF(I452="A",7,10)),IF(B452="SE",IF(I452="L",4,IF(I452="A",5,7)),IF(OR(B452="EE",B452="CE"),IF(I452="L",3,IF(I452="A",4,6)),0)))))</f>
        <v/>
      </c>
      <c r="I452" s="110">
        <f>IF(OR(ISBLANK(D452),ISBLANK(E452)),IF(OR(B452="ALI",B452="AIE"),"L",IF(OR(B452="EE",B452="SE",B452="CE"),"A","")),IF(B452="EE",IF(E452&gt;=3,IF(D452&gt;=5,"H","A"),IF(E452&gt;=2,IF(D452&gt;=16,"H",IF(D452&lt;=4,"L","A")),IF(D452&lt;=15,"L","A"))),IF(OR(B452="SE",B452="CE"),IF(E452&gt;=4,IF(D452&gt;=6,"H","A"),IF(E452&gt;=2,IF(D452&gt;=20,"H",IF(D452&lt;=5,"L","A")),IF(D452&lt;=19,"L","A"))),IF(OR(B452="ALI",B452="AIE"),IF(E452&gt;=6,IF(D452&gt;=20,"H","A"),IF(E452&gt;=2,IF(D452&gt;=51,"H",IF(D452&lt;=19,"L","A")),IF(D452&lt;=50,"L","A"))),""))))</f>
        <v/>
      </c>
      <c r="J452" s="7">
        <f>CONCATENATE(B452,C452)</f>
        <v/>
      </c>
      <c r="K452" s="9">
        <f>IF(OR(H452="",H452=0),L452,H452)</f>
        <v/>
      </c>
      <c r="L452" s="9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 t="n"/>
      <c r="N452" s="115" t="n"/>
      <c r="O452" s="6" t="n"/>
    </row>
    <row r="453">
      <c r="A453" s="112" t="n"/>
      <c r="B453" s="4" t="n"/>
      <c r="C453" s="4" t="n"/>
      <c r="D453" s="7" t="n"/>
      <c r="E453" s="7" t="n"/>
      <c r="F453" s="8">
        <f>IF(ISBLANK(B453),"",IF(I453="L","Baixa",IF(I453="A","Média",IF(I453="","","Alta"))))</f>
        <v/>
      </c>
      <c r="G453" s="7">
        <f>CONCATENATE(B453,I453)</f>
        <v/>
      </c>
      <c r="H453" s="5">
        <f>IF(ISBLANK(B453),"",IF(B453="ALI",IF(I453="L",7,IF(I453="A",10,15)),IF(B453="AIE",IF(I453="L",5,IF(I453="A",7,10)),IF(B453="SE",IF(I453="L",4,IF(I453="A",5,7)),IF(OR(B453="EE",B453="CE"),IF(I453="L",3,IF(I453="A",4,6)),0)))))</f>
        <v/>
      </c>
      <c r="I453" s="110">
        <f>IF(OR(ISBLANK(D453),ISBLANK(E453)),IF(OR(B453="ALI",B453="AIE"),"L",IF(OR(B453="EE",B453="SE",B453="CE"),"A","")),IF(B453="EE",IF(E453&gt;=3,IF(D453&gt;=5,"H","A"),IF(E453&gt;=2,IF(D453&gt;=16,"H",IF(D453&lt;=4,"L","A")),IF(D453&lt;=15,"L","A"))),IF(OR(B453="SE",B453="CE"),IF(E453&gt;=4,IF(D453&gt;=6,"H","A"),IF(E453&gt;=2,IF(D453&gt;=20,"H",IF(D453&lt;=5,"L","A")),IF(D453&lt;=19,"L","A"))),IF(OR(B453="ALI",B453="AIE"),IF(E453&gt;=6,IF(D453&gt;=20,"H","A"),IF(E453&gt;=2,IF(D453&gt;=51,"H",IF(D453&lt;=19,"L","A")),IF(D453&lt;=50,"L","A"))),""))))</f>
        <v/>
      </c>
      <c r="J453" s="7">
        <f>CONCATENATE(B453,C453)</f>
        <v/>
      </c>
      <c r="K453" s="9">
        <f>IF(OR(H453="",H453=0),L453,H453)</f>
        <v/>
      </c>
      <c r="L453" s="9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 t="n"/>
      <c r="N453" s="115" t="n"/>
      <c r="O453" s="6" t="n"/>
    </row>
    <row r="454">
      <c r="A454" s="112" t="n"/>
      <c r="B454" s="4" t="n"/>
      <c r="C454" s="4" t="n"/>
      <c r="D454" s="7" t="n"/>
      <c r="E454" s="7" t="n"/>
      <c r="F454" s="8">
        <f>IF(ISBLANK(B454),"",IF(I454="L","Baixa",IF(I454="A","Média",IF(I454="","","Alta"))))</f>
        <v/>
      </c>
      <c r="G454" s="7">
        <f>CONCATENATE(B454,I454)</f>
        <v/>
      </c>
      <c r="H454" s="5">
        <f>IF(ISBLANK(B454),"",IF(B454="ALI",IF(I454="L",7,IF(I454="A",10,15)),IF(B454="AIE",IF(I454="L",5,IF(I454="A",7,10)),IF(B454="SE",IF(I454="L",4,IF(I454="A",5,7)),IF(OR(B454="EE",B454="CE"),IF(I454="L",3,IF(I454="A",4,6)),0)))))</f>
        <v/>
      </c>
      <c r="I454" s="110">
        <f>IF(OR(ISBLANK(D454),ISBLANK(E454)),IF(OR(B454="ALI",B454="AIE"),"L",IF(OR(B454="EE",B454="SE",B454="CE"),"A","")),IF(B454="EE",IF(E454&gt;=3,IF(D454&gt;=5,"H","A"),IF(E454&gt;=2,IF(D454&gt;=16,"H",IF(D454&lt;=4,"L","A")),IF(D454&lt;=15,"L","A"))),IF(OR(B454="SE",B454="CE"),IF(E454&gt;=4,IF(D454&gt;=6,"H","A"),IF(E454&gt;=2,IF(D454&gt;=20,"H",IF(D454&lt;=5,"L","A")),IF(D454&lt;=19,"L","A"))),IF(OR(B454="ALI",B454="AIE"),IF(E454&gt;=6,IF(D454&gt;=20,"H","A"),IF(E454&gt;=2,IF(D454&gt;=51,"H",IF(D454&lt;=19,"L","A")),IF(D454&lt;=50,"L","A"))),""))))</f>
        <v/>
      </c>
      <c r="J454" s="7">
        <f>CONCATENATE(B454,C454)</f>
        <v/>
      </c>
      <c r="K454" s="9">
        <f>IF(OR(H454="",H454=0),L454,H454)</f>
        <v/>
      </c>
      <c r="L454" s="9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 t="n"/>
      <c r="N454" s="115" t="n"/>
      <c r="O454" s="6" t="n"/>
    </row>
    <row r="455">
      <c r="A455" s="112" t="n"/>
      <c r="B455" s="4" t="n"/>
      <c r="C455" s="4" t="n"/>
      <c r="D455" s="7" t="n"/>
      <c r="E455" s="7" t="n"/>
      <c r="F455" s="8">
        <f>IF(ISBLANK(B455),"",IF(I455="L","Baixa",IF(I455="A","Média",IF(I455="","","Alta"))))</f>
        <v/>
      </c>
      <c r="G455" s="7">
        <f>CONCATENATE(B455,I455)</f>
        <v/>
      </c>
      <c r="H455" s="5">
        <f>IF(ISBLANK(B455),"",IF(B455="ALI",IF(I455="L",7,IF(I455="A",10,15)),IF(B455="AIE",IF(I455="L",5,IF(I455="A",7,10)),IF(B455="SE",IF(I455="L",4,IF(I455="A",5,7)),IF(OR(B455="EE",B455="CE"),IF(I455="L",3,IF(I455="A",4,6)),0)))))</f>
        <v/>
      </c>
      <c r="I455" s="110">
        <f>IF(OR(ISBLANK(D455),ISBLANK(E455)),IF(OR(B455="ALI",B455="AIE"),"L",IF(OR(B455="EE",B455="SE",B455="CE"),"A","")),IF(B455="EE",IF(E455&gt;=3,IF(D455&gt;=5,"H","A"),IF(E455&gt;=2,IF(D455&gt;=16,"H",IF(D455&lt;=4,"L","A")),IF(D455&lt;=15,"L","A"))),IF(OR(B455="SE",B455="CE"),IF(E455&gt;=4,IF(D455&gt;=6,"H","A"),IF(E455&gt;=2,IF(D455&gt;=20,"H",IF(D455&lt;=5,"L","A")),IF(D455&lt;=19,"L","A"))),IF(OR(B455="ALI",B455="AIE"),IF(E455&gt;=6,IF(D455&gt;=20,"H","A"),IF(E455&gt;=2,IF(D455&gt;=51,"H",IF(D455&lt;=19,"L","A")),IF(D455&lt;=50,"L","A"))),""))))</f>
        <v/>
      </c>
      <c r="J455" s="7">
        <f>CONCATENATE(B455,C455)</f>
        <v/>
      </c>
      <c r="K455" s="9">
        <f>IF(OR(H455="",H455=0),L455,H455)</f>
        <v/>
      </c>
      <c r="L455" s="9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 t="n"/>
      <c r="N455" s="115" t="n"/>
      <c r="O455" s="6" t="n"/>
    </row>
    <row r="456">
      <c r="A456" s="112" t="n"/>
      <c r="B456" s="4" t="n"/>
      <c r="C456" s="4" t="n"/>
      <c r="D456" s="7" t="n"/>
      <c r="E456" s="7" t="n"/>
      <c r="F456" s="8">
        <f>IF(ISBLANK(B456),"",IF(I456="L","Baixa",IF(I456="A","Média",IF(I456="","","Alta"))))</f>
        <v/>
      </c>
      <c r="G456" s="7">
        <f>CONCATENATE(B456,I456)</f>
        <v/>
      </c>
      <c r="H456" s="5">
        <f>IF(ISBLANK(B456),"",IF(B456="ALI",IF(I456="L",7,IF(I456="A",10,15)),IF(B456="AIE",IF(I456="L",5,IF(I456="A",7,10)),IF(B456="SE",IF(I456="L",4,IF(I456="A",5,7)),IF(OR(B456="EE",B456="CE"),IF(I456="L",3,IF(I456="A",4,6)),0)))))</f>
        <v/>
      </c>
      <c r="I456" s="110">
        <f>IF(OR(ISBLANK(D456),ISBLANK(E456)),IF(OR(B456="ALI",B456="AIE"),"L",IF(OR(B456="EE",B456="SE",B456="CE"),"A","")),IF(B456="EE",IF(E456&gt;=3,IF(D456&gt;=5,"H","A"),IF(E456&gt;=2,IF(D456&gt;=16,"H",IF(D456&lt;=4,"L","A")),IF(D456&lt;=15,"L","A"))),IF(OR(B456="SE",B456="CE"),IF(E456&gt;=4,IF(D456&gt;=6,"H","A"),IF(E456&gt;=2,IF(D456&gt;=20,"H",IF(D456&lt;=5,"L","A")),IF(D456&lt;=19,"L","A"))),IF(OR(B456="ALI",B456="AIE"),IF(E456&gt;=6,IF(D456&gt;=20,"H","A"),IF(E456&gt;=2,IF(D456&gt;=51,"H",IF(D456&lt;=19,"L","A")),IF(D456&lt;=50,"L","A"))),""))))</f>
        <v/>
      </c>
      <c r="J456" s="7">
        <f>CONCATENATE(B456,C456)</f>
        <v/>
      </c>
      <c r="K456" s="9">
        <f>IF(OR(H456="",H456=0),L456,H456)</f>
        <v/>
      </c>
      <c r="L456" s="9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 t="n"/>
      <c r="N456" s="115" t="n"/>
      <c r="O456" s="6" t="n"/>
    </row>
    <row r="457">
      <c r="A457" s="112" t="n"/>
      <c r="B457" s="4" t="n"/>
      <c r="C457" s="4" t="n"/>
      <c r="D457" s="7" t="n"/>
      <c r="E457" s="7" t="n"/>
      <c r="F457" s="8">
        <f>IF(ISBLANK(B457),"",IF(I457="L","Baixa",IF(I457="A","Média",IF(I457="","","Alta"))))</f>
        <v/>
      </c>
      <c r="G457" s="7">
        <f>CONCATENATE(B457,I457)</f>
        <v/>
      </c>
      <c r="H457" s="5">
        <f>IF(ISBLANK(B457),"",IF(B457="ALI",IF(I457="L",7,IF(I457="A",10,15)),IF(B457="AIE",IF(I457="L",5,IF(I457="A",7,10)),IF(B457="SE",IF(I457="L",4,IF(I457="A",5,7)),IF(OR(B457="EE",B457="CE"),IF(I457="L",3,IF(I457="A",4,6)),0)))))</f>
        <v/>
      </c>
      <c r="I457" s="110">
        <f>IF(OR(ISBLANK(D457),ISBLANK(E457)),IF(OR(B457="ALI",B457="AIE"),"L",IF(OR(B457="EE",B457="SE",B457="CE"),"A","")),IF(B457="EE",IF(E457&gt;=3,IF(D457&gt;=5,"H","A"),IF(E457&gt;=2,IF(D457&gt;=16,"H",IF(D457&lt;=4,"L","A")),IF(D457&lt;=15,"L","A"))),IF(OR(B457="SE",B457="CE"),IF(E457&gt;=4,IF(D457&gt;=6,"H","A"),IF(E457&gt;=2,IF(D457&gt;=20,"H",IF(D457&lt;=5,"L","A")),IF(D457&lt;=19,"L","A"))),IF(OR(B457="ALI",B457="AIE"),IF(E457&gt;=6,IF(D457&gt;=20,"H","A"),IF(E457&gt;=2,IF(D457&gt;=51,"H",IF(D457&lt;=19,"L","A")),IF(D457&lt;=50,"L","A"))),""))))</f>
        <v/>
      </c>
      <c r="J457" s="7">
        <f>CONCATENATE(B457,C457)</f>
        <v/>
      </c>
      <c r="K457" s="9">
        <f>IF(OR(H457="",H457=0),L457,H457)</f>
        <v/>
      </c>
      <c r="L457" s="9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 t="n"/>
      <c r="N457" s="115" t="n"/>
      <c r="O457" s="6" t="n"/>
    </row>
    <row r="458">
      <c r="A458" s="112" t="n"/>
      <c r="B458" s="4" t="n"/>
      <c r="C458" s="4" t="n"/>
      <c r="D458" s="7" t="n"/>
      <c r="E458" s="7" t="n"/>
      <c r="F458" s="8">
        <f>IF(ISBLANK(B458),"",IF(I458="L","Baixa",IF(I458="A","Média",IF(I458="","","Alta"))))</f>
        <v/>
      </c>
      <c r="G458" s="7">
        <f>CONCATENATE(B458,I458)</f>
        <v/>
      </c>
      <c r="H458" s="5">
        <f>IF(ISBLANK(B458),"",IF(B458="ALI",IF(I458="L",7,IF(I458="A",10,15)),IF(B458="AIE",IF(I458="L",5,IF(I458="A",7,10)),IF(B458="SE",IF(I458="L",4,IF(I458="A",5,7)),IF(OR(B458="EE",B458="CE"),IF(I458="L",3,IF(I458="A",4,6)),0)))))</f>
        <v/>
      </c>
      <c r="I458" s="110">
        <f>IF(OR(ISBLANK(D458),ISBLANK(E458)),IF(OR(B458="ALI",B458="AIE"),"L",IF(OR(B458="EE",B458="SE",B458="CE"),"A","")),IF(B458="EE",IF(E458&gt;=3,IF(D458&gt;=5,"H","A"),IF(E458&gt;=2,IF(D458&gt;=16,"H",IF(D458&lt;=4,"L","A")),IF(D458&lt;=15,"L","A"))),IF(OR(B458="SE",B458="CE"),IF(E458&gt;=4,IF(D458&gt;=6,"H","A"),IF(E458&gt;=2,IF(D458&gt;=20,"H",IF(D458&lt;=5,"L","A")),IF(D458&lt;=19,"L","A"))),IF(OR(B458="ALI",B458="AIE"),IF(E458&gt;=6,IF(D458&gt;=20,"H","A"),IF(E458&gt;=2,IF(D458&gt;=51,"H",IF(D458&lt;=19,"L","A")),IF(D458&lt;=50,"L","A"))),""))))</f>
        <v/>
      </c>
      <c r="J458" s="7">
        <f>CONCATENATE(B458,C458)</f>
        <v/>
      </c>
      <c r="K458" s="9">
        <f>IF(OR(H458="",H458=0),L458,H458)</f>
        <v/>
      </c>
      <c r="L458" s="9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 t="n"/>
      <c r="N458" s="115" t="n"/>
      <c r="O458" s="6" t="n"/>
    </row>
    <row r="459">
      <c r="A459" s="112" t="n"/>
      <c r="B459" s="4" t="n"/>
      <c r="C459" s="4" t="n"/>
      <c r="D459" s="7" t="n"/>
      <c r="E459" s="7" t="n"/>
      <c r="F459" s="8">
        <f>IF(ISBLANK(B459),"",IF(I459="L","Baixa",IF(I459="A","Média",IF(I459="","","Alta"))))</f>
        <v/>
      </c>
      <c r="G459" s="7">
        <f>CONCATENATE(B459,I459)</f>
        <v/>
      </c>
      <c r="H459" s="5">
        <f>IF(ISBLANK(B459),"",IF(B459="ALI",IF(I459="L",7,IF(I459="A",10,15)),IF(B459="AIE",IF(I459="L",5,IF(I459="A",7,10)),IF(B459="SE",IF(I459="L",4,IF(I459="A",5,7)),IF(OR(B459="EE",B459="CE"),IF(I459="L",3,IF(I459="A",4,6)),0)))))</f>
        <v/>
      </c>
      <c r="I459" s="110">
        <f>IF(OR(ISBLANK(D459),ISBLANK(E459)),IF(OR(B459="ALI",B459="AIE"),"L",IF(OR(B459="EE",B459="SE",B459="CE"),"A","")),IF(B459="EE",IF(E459&gt;=3,IF(D459&gt;=5,"H","A"),IF(E459&gt;=2,IF(D459&gt;=16,"H",IF(D459&lt;=4,"L","A")),IF(D459&lt;=15,"L","A"))),IF(OR(B459="SE",B459="CE"),IF(E459&gt;=4,IF(D459&gt;=6,"H","A"),IF(E459&gt;=2,IF(D459&gt;=20,"H",IF(D459&lt;=5,"L","A")),IF(D459&lt;=19,"L","A"))),IF(OR(B459="ALI",B459="AIE"),IF(E459&gt;=6,IF(D459&gt;=20,"H","A"),IF(E459&gt;=2,IF(D459&gt;=51,"H",IF(D459&lt;=19,"L","A")),IF(D459&lt;=50,"L","A"))),""))))</f>
        <v/>
      </c>
      <c r="J459" s="7">
        <f>CONCATENATE(B459,C459)</f>
        <v/>
      </c>
      <c r="K459" s="9">
        <f>IF(OR(H459="",H459=0),L459,H459)</f>
        <v/>
      </c>
      <c r="L459" s="9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 t="n"/>
      <c r="N459" s="115" t="n"/>
      <c r="O459" s="6" t="n"/>
    </row>
    <row r="460">
      <c r="A460" s="112" t="n"/>
      <c r="B460" s="4" t="n"/>
      <c r="C460" s="4" t="n"/>
      <c r="D460" s="7" t="n"/>
      <c r="E460" s="7" t="n"/>
      <c r="F460" s="8">
        <f>IF(ISBLANK(B460),"",IF(I460="L","Baixa",IF(I460="A","Média",IF(I460="","","Alta"))))</f>
        <v/>
      </c>
      <c r="G460" s="7">
        <f>CONCATENATE(B460,I460)</f>
        <v/>
      </c>
      <c r="H460" s="5">
        <f>IF(ISBLANK(B460),"",IF(B460="ALI",IF(I460="L",7,IF(I460="A",10,15)),IF(B460="AIE",IF(I460="L",5,IF(I460="A",7,10)),IF(B460="SE",IF(I460="L",4,IF(I460="A",5,7)),IF(OR(B460="EE",B460="CE"),IF(I460="L",3,IF(I460="A",4,6)),0)))))</f>
        <v/>
      </c>
      <c r="I460" s="110">
        <f>IF(OR(ISBLANK(D460),ISBLANK(E460)),IF(OR(B460="ALI",B460="AIE"),"L",IF(OR(B460="EE",B460="SE",B460="CE"),"A","")),IF(B460="EE",IF(E460&gt;=3,IF(D460&gt;=5,"H","A"),IF(E460&gt;=2,IF(D460&gt;=16,"H",IF(D460&lt;=4,"L","A")),IF(D460&lt;=15,"L","A"))),IF(OR(B460="SE",B460="CE"),IF(E460&gt;=4,IF(D460&gt;=6,"H","A"),IF(E460&gt;=2,IF(D460&gt;=20,"H",IF(D460&lt;=5,"L","A")),IF(D460&lt;=19,"L","A"))),IF(OR(B460="ALI",B460="AIE"),IF(E460&gt;=6,IF(D460&gt;=20,"H","A"),IF(E460&gt;=2,IF(D460&gt;=51,"H",IF(D460&lt;=19,"L","A")),IF(D460&lt;=50,"L","A"))),""))))</f>
        <v/>
      </c>
      <c r="J460" s="7">
        <f>CONCATENATE(B460,C460)</f>
        <v/>
      </c>
      <c r="K460" s="9">
        <f>IF(OR(H460="",H460=0),L460,H460)</f>
        <v/>
      </c>
      <c r="L460" s="9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 t="n"/>
      <c r="N460" s="115" t="n"/>
      <c r="O460" s="6" t="n"/>
    </row>
    <row r="461">
      <c r="A461" s="112" t="n"/>
      <c r="B461" s="4" t="n"/>
      <c r="C461" s="4" t="n"/>
      <c r="D461" s="7" t="n"/>
      <c r="E461" s="7" t="n"/>
      <c r="F461" s="8">
        <f>IF(ISBLANK(B461),"",IF(I461="L","Baixa",IF(I461="A","Média",IF(I461="","","Alta"))))</f>
        <v/>
      </c>
      <c r="G461" s="7">
        <f>CONCATENATE(B461,I461)</f>
        <v/>
      </c>
      <c r="H461" s="5">
        <f>IF(ISBLANK(B461),"",IF(B461="ALI",IF(I461="L",7,IF(I461="A",10,15)),IF(B461="AIE",IF(I461="L",5,IF(I461="A",7,10)),IF(B461="SE",IF(I461="L",4,IF(I461="A",5,7)),IF(OR(B461="EE",B461="CE"),IF(I461="L",3,IF(I461="A",4,6)),0)))))</f>
        <v/>
      </c>
      <c r="I461" s="110">
        <f>IF(OR(ISBLANK(D461),ISBLANK(E461)),IF(OR(B461="ALI",B461="AIE"),"L",IF(OR(B461="EE",B461="SE",B461="CE"),"A","")),IF(B461="EE",IF(E461&gt;=3,IF(D461&gt;=5,"H","A"),IF(E461&gt;=2,IF(D461&gt;=16,"H",IF(D461&lt;=4,"L","A")),IF(D461&lt;=15,"L","A"))),IF(OR(B461="SE",B461="CE"),IF(E461&gt;=4,IF(D461&gt;=6,"H","A"),IF(E461&gt;=2,IF(D461&gt;=20,"H",IF(D461&lt;=5,"L","A")),IF(D461&lt;=19,"L","A"))),IF(OR(B461="ALI",B461="AIE"),IF(E461&gt;=6,IF(D461&gt;=20,"H","A"),IF(E461&gt;=2,IF(D461&gt;=51,"H",IF(D461&lt;=19,"L","A")),IF(D461&lt;=50,"L","A"))),""))))</f>
        <v/>
      </c>
      <c r="J461" s="7">
        <f>CONCATENATE(B461,C461)</f>
        <v/>
      </c>
      <c r="K461" s="9">
        <f>IF(OR(H461="",H461=0),L461,H461)</f>
        <v/>
      </c>
      <c r="L461" s="9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 t="n"/>
      <c r="N461" s="115" t="n"/>
      <c r="O461" s="6" t="n"/>
    </row>
    <row r="462">
      <c r="A462" s="112" t="n"/>
      <c r="B462" s="4" t="n"/>
      <c r="C462" s="4" t="n"/>
      <c r="D462" s="7" t="n"/>
      <c r="E462" s="7" t="n"/>
      <c r="F462" s="8">
        <f>IF(ISBLANK(B462),"",IF(I462="L","Baixa",IF(I462="A","Média",IF(I462="","","Alta"))))</f>
        <v/>
      </c>
      <c r="G462" s="7">
        <f>CONCATENATE(B462,I462)</f>
        <v/>
      </c>
      <c r="H462" s="5">
        <f>IF(ISBLANK(B462),"",IF(B462="ALI",IF(I462="L",7,IF(I462="A",10,15)),IF(B462="AIE",IF(I462="L",5,IF(I462="A",7,10)),IF(B462="SE",IF(I462="L",4,IF(I462="A",5,7)),IF(OR(B462="EE",B462="CE"),IF(I462="L",3,IF(I462="A",4,6)),0)))))</f>
        <v/>
      </c>
      <c r="I462" s="110">
        <f>IF(OR(ISBLANK(D462),ISBLANK(E462)),IF(OR(B462="ALI",B462="AIE"),"L",IF(OR(B462="EE",B462="SE",B462="CE"),"A","")),IF(B462="EE",IF(E462&gt;=3,IF(D462&gt;=5,"H","A"),IF(E462&gt;=2,IF(D462&gt;=16,"H",IF(D462&lt;=4,"L","A")),IF(D462&lt;=15,"L","A"))),IF(OR(B462="SE",B462="CE"),IF(E462&gt;=4,IF(D462&gt;=6,"H","A"),IF(E462&gt;=2,IF(D462&gt;=20,"H",IF(D462&lt;=5,"L","A")),IF(D462&lt;=19,"L","A"))),IF(OR(B462="ALI",B462="AIE"),IF(E462&gt;=6,IF(D462&gt;=20,"H","A"),IF(E462&gt;=2,IF(D462&gt;=51,"H",IF(D462&lt;=19,"L","A")),IF(D462&lt;=50,"L","A"))),""))))</f>
        <v/>
      </c>
      <c r="J462" s="7">
        <f>CONCATENATE(B462,C462)</f>
        <v/>
      </c>
      <c r="K462" s="9">
        <f>IF(OR(H462="",H462=0),L462,H462)</f>
        <v/>
      </c>
      <c r="L462" s="9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 t="n"/>
      <c r="N462" s="115" t="n"/>
      <c r="O462" s="6" t="n"/>
    </row>
    <row r="463">
      <c r="A463" s="112" t="n"/>
      <c r="B463" s="4" t="n"/>
      <c r="C463" s="4" t="n"/>
      <c r="D463" s="7" t="n"/>
      <c r="E463" s="7" t="n"/>
      <c r="F463" s="8">
        <f>IF(ISBLANK(B463),"",IF(I463="L","Baixa",IF(I463="A","Média",IF(I463="","","Alta"))))</f>
        <v/>
      </c>
      <c r="G463" s="7">
        <f>CONCATENATE(B463,I463)</f>
        <v/>
      </c>
      <c r="H463" s="5">
        <f>IF(ISBLANK(B463),"",IF(B463="ALI",IF(I463="L",7,IF(I463="A",10,15)),IF(B463="AIE",IF(I463="L",5,IF(I463="A",7,10)),IF(B463="SE",IF(I463="L",4,IF(I463="A",5,7)),IF(OR(B463="EE",B463="CE"),IF(I463="L",3,IF(I463="A",4,6)),0)))))</f>
        <v/>
      </c>
      <c r="I463" s="110">
        <f>IF(OR(ISBLANK(D463),ISBLANK(E463)),IF(OR(B463="ALI",B463="AIE"),"L",IF(OR(B463="EE",B463="SE",B463="CE"),"A","")),IF(B463="EE",IF(E463&gt;=3,IF(D463&gt;=5,"H","A"),IF(E463&gt;=2,IF(D463&gt;=16,"H",IF(D463&lt;=4,"L","A")),IF(D463&lt;=15,"L","A"))),IF(OR(B463="SE",B463="CE"),IF(E463&gt;=4,IF(D463&gt;=6,"H","A"),IF(E463&gt;=2,IF(D463&gt;=20,"H",IF(D463&lt;=5,"L","A")),IF(D463&lt;=19,"L","A"))),IF(OR(B463="ALI",B463="AIE"),IF(E463&gt;=6,IF(D463&gt;=20,"H","A"),IF(E463&gt;=2,IF(D463&gt;=51,"H",IF(D463&lt;=19,"L","A")),IF(D463&lt;=50,"L","A"))),""))))</f>
        <v/>
      </c>
      <c r="J463" s="7">
        <f>CONCATENATE(B463,C463)</f>
        <v/>
      </c>
      <c r="K463" s="9">
        <f>IF(OR(H463="",H463=0),L463,H463)</f>
        <v/>
      </c>
      <c r="L463" s="9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 t="n"/>
      <c r="N463" s="115" t="n"/>
      <c r="O463" s="6" t="n"/>
    </row>
    <row r="464">
      <c r="A464" s="112" t="n"/>
      <c r="B464" s="4" t="n"/>
      <c r="C464" s="4" t="n"/>
      <c r="D464" s="7" t="n"/>
      <c r="E464" s="7" t="n"/>
      <c r="F464" s="8">
        <f>IF(ISBLANK(B464),"",IF(I464="L","Baixa",IF(I464="A","Média",IF(I464="","","Alta"))))</f>
        <v/>
      </c>
      <c r="G464" s="7">
        <f>CONCATENATE(B464,I464)</f>
        <v/>
      </c>
      <c r="H464" s="5">
        <f>IF(ISBLANK(B464),"",IF(B464="ALI",IF(I464="L",7,IF(I464="A",10,15)),IF(B464="AIE",IF(I464="L",5,IF(I464="A",7,10)),IF(B464="SE",IF(I464="L",4,IF(I464="A",5,7)),IF(OR(B464="EE",B464="CE"),IF(I464="L",3,IF(I464="A",4,6)),0)))))</f>
        <v/>
      </c>
      <c r="I464" s="110">
        <f>IF(OR(ISBLANK(D464),ISBLANK(E464)),IF(OR(B464="ALI",B464="AIE"),"L",IF(OR(B464="EE",B464="SE",B464="CE"),"A","")),IF(B464="EE",IF(E464&gt;=3,IF(D464&gt;=5,"H","A"),IF(E464&gt;=2,IF(D464&gt;=16,"H",IF(D464&lt;=4,"L","A")),IF(D464&lt;=15,"L","A"))),IF(OR(B464="SE",B464="CE"),IF(E464&gt;=4,IF(D464&gt;=6,"H","A"),IF(E464&gt;=2,IF(D464&gt;=20,"H",IF(D464&lt;=5,"L","A")),IF(D464&lt;=19,"L","A"))),IF(OR(B464="ALI",B464="AIE"),IF(E464&gt;=6,IF(D464&gt;=20,"H","A"),IF(E464&gt;=2,IF(D464&gt;=51,"H",IF(D464&lt;=19,"L","A")),IF(D464&lt;=50,"L","A"))),""))))</f>
        <v/>
      </c>
      <c r="J464" s="7">
        <f>CONCATENATE(B464,C464)</f>
        <v/>
      </c>
      <c r="K464" s="9">
        <f>IF(OR(H464="",H464=0),L464,H464)</f>
        <v/>
      </c>
      <c r="L464" s="9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 t="n"/>
      <c r="N464" s="115" t="n"/>
      <c r="O464" s="6" t="n"/>
    </row>
    <row r="465">
      <c r="A465" s="112" t="n"/>
      <c r="B465" s="4" t="n"/>
      <c r="C465" s="4" t="n"/>
      <c r="D465" s="7" t="n"/>
      <c r="E465" s="7" t="n"/>
      <c r="F465" s="8">
        <f>IF(ISBLANK(B465),"",IF(I465="L","Baixa",IF(I465="A","Média",IF(I465="","","Alta"))))</f>
        <v/>
      </c>
      <c r="G465" s="7">
        <f>CONCATENATE(B465,I465)</f>
        <v/>
      </c>
      <c r="H465" s="5">
        <f>IF(ISBLANK(B465),"",IF(B465="ALI",IF(I465="L",7,IF(I465="A",10,15)),IF(B465="AIE",IF(I465="L",5,IF(I465="A",7,10)),IF(B465="SE",IF(I465="L",4,IF(I465="A",5,7)),IF(OR(B465="EE",B465="CE"),IF(I465="L",3,IF(I465="A",4,6)),0)))))</f>
        <v/>
      </c>
      <c r="I465" s="110">
        <f>IF(OR(ISBLANK(D465),ISBLANK(E465)),IF(OR(B465="ALI",B465="AIE"),"L",IF(OR(B465="EE",B465="SE",B465="CE"),"A","")),IF(B465="EE",IF(E465&gt;=3,IF(D465&gt;=5,"H","A"),IF(E465&gt;=2,IF(D465&gt;=16,"H",IF(D465&lt;=4,"L","A")),IF(D465&lt;=15,"L","A"))),IF(OR(B465="SE",B465="CE"),IF(E465&gt;=4,IF(D465&gt;=6,"H","A"),IF(E465&gt;=2,IF(D465&gt;=20,"H",IF(D465&lt;=5,"L","A")),IF(D465&lt;=19,"L","A"))),IF(OR(B465="ALI",B465="AIE"),IF(E465&gt;=6,IF(D465&gt;=20,"H","A"),IF(E465&gt;=2,IF(D465&gt;=51,"H",IF(D465&lt;=19,"L","A")),IF(D465&lt;=50,"L","A"))),""))))</f>
        <v/>
      </c>
      <c r="J465" s="7">
        <f>CONCATENATE(B465,C465)</f>
        <v/>
      </c>
      <c r="K465" s="9">
        <f>IF(OR(H465="",H465=0),L465,H465)</f>
        <v/>
      </c>
      <c r="L465" s="9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 t="n"/>
      <c r="N465" s="115" t="n"/>
      <c r="O465" s="6" t="n"/>
    </row>
    <row r="466">
      <c r="A466" s="112" t="n"/>
      <c r="B466" s="4" t="n"/>
      <c r="C466" s="4" t="n"/>
      <c r="D466" s="7" t="n"/>
      <c r="E466" s="7" t="n"/>
      <c r="F466" s="8">
        <f>IF(ISBLANK(B466),"",IF(I466="L","Baixa",IF(I466="A","Média",IF(I466="","","Alta"))))</f>
        <v/>
      </c>
      <c r="G466" s="7">
        <f>CONCATENATE(B466,I466)</f>
        <v/>
      </c>
      <c r="H466" s="5">
        <f>IF(ISBLANK(B466),"",IF(B466="ALI",IF(I466="L",7,IF(I466="A",10,15)),IF(B466="AIE",IF(I466="L",5,IF(I466="A",7,10)),IF(B466="SE",IF(I466="L",4,IF(I466="A",5,7)),IF(OR(B466="EE",B466="CE"),IF(I466="L",3,IF(I466="A",4,6)),0)))))</f>
        <v/>
      </c>
      <c r="I466" s="110">
        <f>IF(OR(ISBLANK(D466),ISBLANK(E466)),IF(OR(B466="ALI",B466="AIE"),"L",IF(OR(B466="EE",B466="SE",B466="CE"),"A","")),IF(B466="EE",IF(E466&gt;=3,IF(D466&gt;=5,"H","A"),IF(E466&gt;=2,IF(D466&gt;=16,"H",IF(D466&lt;=4,"L","A")),IF(D466&lt;=15,"L","A"))),IF(OR(B466="SE",B466="CE"),IF(E466&gt;=4,IF(D466&gt;=6,"H","A"),IF(E466&gt;=2,IF(D466&gt;=20,"H",IF(D466&lt;=5,"L","A")),IF(D466&lt;=19,"L","A"))),IF(OR(B466="ALI",B466="AIE"),IF(E466&gt;=6,IF(D466&gt;=20,"H","A"),IF(E466&gt;=2,IF(D466&gt;=51,"H",IF(D466&lt;=19,"L","A")),IF(D466&lt;=50,"L","A"))),""))))</f>
        <v/>
      </c>
      <c r="J466" s="7">
        <f>CONCATENATE(B466,C466)</f>
        <v/>
      </c>
      <c r="K466" s="9">
        <f>IF(OR(H466="",H466=0),L466,H466)</f>
        <v/>
      </c>
      <c r="L466" s="9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 t="n"/>
      <c r="N466" s="115" t="n"/>
      <c r="O466" s="6" t="n"/>
    </row>
    <row r="467">
      <c r="A467" s="112" t="n"/>
      <c r="B467" s="4" t="n"/>
      <c r="C467" s="4" t="n"/>
      <c r="D467" s="7" t="n"/>
      <c r="E467" s="7" t="n"/>
      <c r="F467" s="8">
        <f>IF(ISBLANK(B467),"",IF(I467="L","Baixa",IF(I467="A","Média",IF(I467="","","Alta"))))</f>
        <v/>
      </c>
      <c r="G467" s="7">
        <f>CONCATENATE(B467,I467)</f>
        <v/>
      </c>
      <c r="H467" s="5">
        <f>IF(ISBLANK(B467),"",IF(B467="ALI",IF(I467="L",7,IF(I467="A",10,15)),IF(B467="AIE",IF(I467="L",5,IF(I467="A",7,10)),IF(B467="SE",IF(I467="L",4,IF(I467="A",5,7)),IF(OR(B467="EE",B467="CE"),IF(I467="L",3,IF(I467="A",4,6)),0)))))</f>
        <v/>
      </c>
      <c r="I467" s="110">
        <f>IF(OR(ISBLANK(D467),ISBLANK(E467)),IF(OR(B467="ALI",B467="AIE"),"L",IF(OR(B467="EE",B467="SE",B467="CE"),"A","")),IF(B467="EE",IF(E467&gt;=3,IF(D467&gt;=5,"H","A"),IF(E467&gt;=2,IF(D467&gt;=16,"H",IF(D467&lt;=4,"L","A")),IF(D467&lt;=15,"L","A"))),IF(OR(B467="SE",B467="CE"),IF(E467&gt;=4,IF(D467&gt;=6,"H","A"),IF(E467&gt;=2,IF(D467&gt;=20,"H",IF(D467&lt;=5,"L","A")),IF(D467&lt;=19,"L","A"))),IF(OR(B467="ALI",B467="AIE"),IF(E467&gt;=6,IF(D467&gt;=20,"H","A"),IF(E467&gt;=2,IF(D467&gt;=51,"H",IF(D467&lt;=19,"L","A")),IF(D467&lt;=50,"L","A"))),""))))</f>
        <v/>
      </c>
      <c r="J467" s="7">
        <f>CONCATENATE(B467,C467)</f>
        <v/>
      </c>
      <c r="K467" s="9">
        <f>IF(OR(H467="",H467=0),L467,H467)</f>
        <v/>
      </c>
      <c r="L467" s="9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 t="n"/>
      <c r="N467" s="115" t="n"/>
      <c r="O467" s="6" t="n"/>
    </row>
    <row r="468">
      <c r="A468" s="112" t="n"/>
      <c r="B468" s="4" t="n"/>
      <c r="C468" s="4" t="n"/>
      <c r="D468" s="7" t="n"/>
      <c r="E468" s="7" t="n"/>
      <c r="F468" s="8">
        <f>IF(ISBLANK(B468),"",IF(I468="L","Baixa",IF(I468="A","Média",IF(I468="","","Alta"))))</f>
        <v/>
      </c>
      <c r="G468" s="7">
        <f>CONCATENATE(B468,I468)</f>
        <v/>
      </c>
      <c r="H468" s="5">
        <f>IF(ISBLANK(B468),"",IF(B468="ALI",IF(I468="L",7,IF(I468="A",10,15)),IF(B468="AIE",IF(I468="L",5,IF(I468="A",7,10)),IF(B468="SE",IF(I468="L",4,IF(I468="A",5,7)),IF(OR(B468="EE",B468="CE"),IF(I468="L",3,IF(I468="A",4,6)),0)))))</f>
        <v/>
      </c>
      <c r="I468" s="110">
        <f>IF(OR(ISBLANK(D468),ISBLANK(E468)),IF(OR(B468="ALI",B468="AIE"),"L",IF(OR(B468="EE",B468="SE",B468="CE"),"A","")),IF(B468="EE",IF(E468&gt;=3,IF(D468&gt;=5,"H","A"),IF(E468&gt;=2,IF(D468&gt;=16,"H",IF(D468&lt;=4,"L","A")),IF(D468&lt;=15,"L","A"))),IF(OR(B468="SE",B468="CE"),IF(E468&gt;=4,IF(D468&gt;=6,"H","A"),IF(E468&gt;=2,IF(D468&gt;=20,"H",IF(D468&lt;=5,"L","A")),IF(D468&lt;=19,"L","A"))),IF(OR(B468="ALI",B468="AIE"),IF(E468&gt;=6,IF(D468&gt;=20,"H","A"),IF(E468&gt;=2,IF(D468&gt;=51,"H",IF(D468&lt;=19,"L","A")),IF(D468&lt;=50,"L","A"))),""))))</f>
        <v/>
      </c>
      <c r="J468" s="7">
        <f>CONCATENATE(B468,C468)</f>
        <v/>
      </c>
      <c r="K468" s="9">
        <f>IF(OR(H468="",H468=0),L468,H468)</f>
        <v/>
      </c>
      <c r="L468" s="9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 t="n"/>
      <c r="N468" s="115" t="n"/>
      <c r="O468" s="6" t="n"/>
    </row>
    <row r="469">
      <c r="A469" s="112" t="n"/>
      <c r="B469" s="4" t="n"/>
      <c r="C469" s="4" t="n"/>
      <c r="D469" s="7" t="n"/>
      <c r="E469" s="7" t="n"/>
      <c r="F469" s="8">
        <f>IF(ISBLANK(B469),"",IF(I469="L","Baixa",IF(I469="A","Média",IF(I469="","","Alta"))))</f>
        <v/>
      </c>
      <c r="G469" s="7">
        <f>CONCATENATE(B469,I469)</f>
        <v/>
      </c>
      <c r="H469" s="5">
        <f>IF(ISBLANK(B469),"",IF(B469="ALI",IF(I469="L",7,IF(I469="A",10,15)),IF(B469="AIE",IF(I469="L",5,IF(I469="A",7,10)),IF(B469="SE",IF(I469="L",4,IF(I469="A",5,7)),IF(OR(B469="EE",B469="CE"),IF(I469="L",3,IF(I469="A",4,6)),0)))))</f>
        <v/>
      </c>
      <c r="I469" s="110">
        <f>IF(OR(ISBLANK(D469),ISBLANK(E469)),IF(OR(B469="ALI",B469="AIE"),"L",IF(OR(B469="EE",B469="SE",B469="CE"),"A","")),IF(B469="EE",IF(E469&gt;=3,IF(D469&gt;=5,"H","A"),IF(E469&gt;=2,IF(D469&gt;=16,"H",IF(D469&lt;=4,"L","A")),IF(D469&lt;=15,"L","A"))),IF(OR(B469="SE",B469="CE"),IF(E469&gt;=4,IF(D469&gt;=6,"H","A"),IF(E469&gt;=2,IF(D469&gt;=20,"H",IF(D469&lt;=5,"L","A")),IF(D469&lt;=19,"L","A"))),IF(OR(B469="ALI",B469="AIE"),IF(E469&gt;=6,IF(D469&gt;=20,"H","A"),IF(E469&gt;=2,IF(D469&gt;=51,"H",IF(D469&lt;=19,"L","A")),IF(D469&lt;=50,"L","A"))),""))))</f>
        <v/>
      </c>
      <c r="J469" s="7">
        <f>CONCATENATE(B469,C469)</f>
        <v/>
      </c>
      <c r="K469" s="9">
        <f>IF(OR(H469="",H469=0),L469,H469)</f>
        <v/>
      </c>
      <c r="L469" s="9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 t="n"/>
      <c r="N469" s="115" t="n"/>
      <c r="O469" s="6" t="n"/>
    </row>
    <row r="470">
      <c r="A470" s="112" t="n"/>
      <c r="B470" s="4" t="n"/>
      <c r="C470" s="4" t="n"/>
      <c r="D470" s="7" t="n"/>
      <c r="E470" s="7" t="n"/>
      <c r="F470" s="8">
        <f>IF(ISBLANK(B470),"",IF(I470="L","Baixa",IF(I470="A","Média",IF(I470="","","Alta"))))</f>
        <v/>
      </c>
      <c r="G470" s="7">
        <f>CONCATENATE(B470,I470)</f>
        <v/>
      </c>
      <c r="H470" s="5">
        <f>IF(ISBLANK(B470),"",IF(B470="ALI",IF(I470="L",7,IF(I470="A",10,15)),IF(B470="AIE",IF(I470="L",5,IF(I470="A",7,10)),IF(B470="SE",IF(I470="L",4,IF(I470="A",5,7)),IF(OR(B470="EE",B470="CE"),IF(I470="L",3,IF(I470="A",4,6)),0)))))</f>
        <v/>
      </c>
      <c r="I470" s="110">
        <f>IF(OR(ISBLANK(D470),ISBLANK(E470)),IF(OR(B470="ALI",B470="AIE"),"L",IF(OR(B470="EE",B470="SE",B470="CE"),"A","")),IF(B470="EE",IF(E470&gt;=3,IF(D470&gt;=5,"H","A"),IF(E470&gt;=2,IF(D470&gt;=16,"H",IF(D470&lt;=4,"L","A")),IF(D470&lt;=15,"L","A"))),IF(OR(B470="SE",B470="CE"),IF(E470&gt;=4,IF(D470&gt;=6,"H","A"),IF(E470&gt;=2,IF(D470&gt;=20,"H",IF(D470&lt;=5,"L","A")),IF(D470&lt;=19,"L","A"))),IF(OR(B470="ALI",B470="AIE"),IF(E470&gt;=6,IF(D470&gt;=20,"H","A"),IF(E470&gt;=2,IF(D470&gt;=51,"H",IF(D470&lt;=19,"L","A")),IF(D470&lt;=50,"L","A"))),""))))</f>
        <v/>
      </c>
      <c r="J470" s="7">
        <f>CONCATENATE(B470,C470)</f>
        <v/>
      </c>
      <c r="K470" s="9">
        <f>IF(OR(H470="",H470=0),L470,H470)</f>
        <v/>
      </c>
      <c r="L470" s="9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 t="n"/>
      <c r="N470" s="115" t="n"/>
      <c r="O470" s="6" t="n"/>
    </row>
    <row r="471">
      <c r="A471" s="112" t="n"/>
      <c r="B471" s="4" t="n"/>
      <c r="C471" s="4" t="n"/>
      <c r="D471" s="7" t="n"/>
      <c r="E471" s="7" t="n"/>
      <c r="F471" s="8">
        <f>IF(ISBLANK(B471),"",IF(I471="L","Baixa",IF(I471="A","Média",IF(I471="","","Alta"))))</f>
        <v/>
      </c>
      <c r="G471" s="7">
        <f>CONCATENATE(B471,I471)</f>
        <v/>
      </c>
      <c r="H471" s="5">
        <f>IF(ISBLANK(B471),"",IF(B471="ALI",IF(I471="L",7,IF(I471="A",10,15)),IF(B471="AIE",IF(I471="L",5,IF(I471="A",7,10)),IF(B471="SE",IF(I471="L",4,IF(I471="A",5,7)),IF(OR(B471="EE",B471="CE"),IF(I471="L",3,IF(I471="A",4,6)),0)))))</f>
        <v/>
      </c>
      <c r="I471" s="110">
        <f>IF(OR(ISBLANK(D471),ISBLANK(E471)),IF(OR(B471="ALI",B471="AIE"),"L",IF(OR(B471="EE",B471="SE",B471="CE"),"A","")),IF(B471="EE",IF(E471&gt;=3,IF(D471&gt;=5,"H","A"),IF(E471&gt;=2,IF(D471&gt;=16,"H",IF(D471&lt;=4,"L","A")),IF(D471&lt;=15,"L","A"))),IF(OR(B471="SE",B471="CE"),IF(E471&gt;=4,IF(D471&gt;=6,"H","A"),IF(E471&gt;=2,IF(D471&gt;=20,"H",IF(D471&lt;=5,"L","A")),IF(D471&lt;=19,"L","A"))),IF(OR(B471="ALI",B471="AIE"),IF(E471&gt;=6,IF(D471&gt;=20,"H","A"),IF(E471&gt;=2,IF(D471&gt;=51,"H",IF(D471&lt;=19,"L","A")),IF(D471&lt;=50,"L","A"))),""))))</f>
        <v/>
      </c>
      <c r="J471" s="7">
        <f>CONCATENATE(B471,C471)</f>
        <v/>
      </c>
      <c r="K471" s="9">
        <f>IF(OR(H471="",H471=0),L471,H471)</f>
        <v/>
      </c>
      <c r="L471" s="9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 t="n"/>
      <c r="N471" s="115" t="n"/>
      <c r="O471" s="6" t="n"/>
    </row>
    <row r="472">
      <c r="A472" s="112" t="n"/>
      <c r="B472" s="4" t="n"/>
      <c r="C472" s="4" t="n"/>
      <c r="D472" s="7" t="n"/>
      <c r="E472" s="7" t="n"/>
      <c r="F472" s="8">
        <f>IF(ISBLANK(B472),"",IF(I472="L","Baixa",IF(I472="A","Média",IF(I472="","","Alta"))))</f>
        <v/>
      </c>
      <c r="G472" s="7">
        <f>CONCATENATE(B472,I472)</f>
        <v/>
      </c>
      <c r="H472" s="5">
        <f>IF(ISBLANK(B472),"",IF(B472="ALI",IF(I472="L",7,IF(I472="A",10,15)),IF(B472="AIE",IF(I472="L",5,IF(I472="A",7,10)),IF(B472="SE",IF(I472="L",4,IF(I472="A",5,7)),IF(OR(B472="EE",B472="CE"),IF(I472="L",3,IF(I472="A",4,6)),0)))))</f>
        <v/>
      </c>
      <c r="I472" s="110">
        <f>IF(OR(ISBLANK(D472),ISBLANK(E472)),IF(OR(B472="ALI",B472="AIE"),"L",IF(OR(B472="EE",B472="SE",B472="CE"),"A","")),IF(B472="EE",IF(E472&gt;=3,IF(D472&gt;=5,"H","A"),IF(E472&gt;=2,IF(D472&gt;=16,"H",IF(D472&lt;=4,"L","A")),IF(D472&lt;=15,"L","A"))),IF(OR(B472="SE",B472="CE"),IF(E472&gt;=4,IF(D472&gt;=6,"H","A"),IF(E472&gt;=2,IF(D472&gt;=20,"H",IF(D472&lt;=5,"L","A")),IF(D472&lt;=19,"L","A"))),IF(OR(B472="ALI",B472="AIE"),IF(E472&gt;=6,IF(D472&gt;=20,"H","A"),IF(E472&gt;=2,IF(D472&gt;=51,"H",IF(D472&lt;=19,"L","A")),IF(D472&lt;=50,"L","A"))),""))))</f>
        <v/>
      </c>
      <c r="J472" s="7">
        <f>CONCATENATE(B472,C472)</f>
        <v/>
      </c>
      <c r="K472" s="9">
        <f>IF(OR(H472="",H472=0),L472,H472)</f>
        <v/>
      </c>
      <c r="L472" s="9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 t="n"/>
      <c r="N472" s="115" t="n"/>
      <c r="O472" s="6" t="n"/>
    </row>
    <row r="473">
      <c r="A473" s="112" t="n"/>
      <c r="B473" s="4" t="n"/>
      <c r="C473" s="4" t="n"/>
      <c r="D473" s="7" t="n"/>
      <c r="E473" s="7" t="n"/>
      <c r="F473" s="8">
        <f>IF(ISBLANK(B473),"",IF(I473="L","Baixa",IF(I473="A","Média",IF(I473="","","Alta"))))</f>
        <v/>
      </c>
      <c r="G473" s="7">
        <f>CONCATENATE(B473,I473)</f>
        <v/>
      </c>
      <c r="H473" s="5">
        <f>IF(ISBLANK(B473),"",IF(B473="ALI",IF(I473="L",7,IF(I473="A",10,15)),IF(B473="AIE",IF(I473="L",5,IF(I473="A",7,10)),IF(B473="SE",IF(I473="L",4,IF(I473="A",5,7)),IF(OR(B473="EE",B473="CE"),IF(I473="L",3,IF(I473="A",4,6)),0)))))</f>
        <v/>
      </c>
      <c r="I473" s="110">
        <f>IF(OR(ISBLANK(D473),ISBLANK(E473)),IF(OR(B473="ALI",B473="AIE"),"L",IF(OR(B473="EE",B473="SE",B473="CE"),"A","")),IF(B473="EE",IF(E473&gt;=3,IF(D473&gt;=5,"H","A"),IF(E473&gt;=2,IF(D473&gt;=16,"H",IF(D473&lt;=4,"L","A")),IF(D473&lt;=15,"L","A"))),IF(OR(B473="SE",B473="CE"),IF(E473&gt;=4,IF(D473&gt;=6,"H","A"),IF(E473&gt;=2,IF(D473&gt;=20,"H",IF(D473&lt;=5,"L","A")),IF(D473&lt;=19,"L","A"))),IF(OR(B473="ALI",B473="AIE"),IF(E473&gt;=6,IF(D473&gt;=20,"H","A"),IF(E473&gt;=2,IF(D473&gt;=51,"H",IF(D473&lt;=19,"L","A")),IF(D473&lt;=50,"L","A"))),""))))</f>
        <v/>
      </c>
      <c r="J473" s="7">
        <f>CONCATENATE(B473,C473)</f>
        <v/>
      </c>
      <c r="K473" s="9">
        <f>IF(OR(H473="",H473=0),L473,H473)</f>
        <v/>
      </c>
      <c r="L473" s="9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 t="n"/>
      <c r="N473" s="115" t="n"/>
      <c r="O473" s="6" t="n"/>
    </row>
    <row r="474">
      <c r="A474" s="112" t="n"/>
      <c r="B474" s="4" t="n"/>
      <c r="C474" s="4" t="n"/>
      <c r="D474" s="7" t="n"/>
      <c r="E474" s="7" t="n"/>
      <c r="F474" s="8">
        <f>IF(ISBLANK(B474),"",IF(I474="L","Baixa",IF(I474="A","Média",IF(I474="","","Alta"))))</f>
        <v/>
      </c>
      <c r="G474" s="7">
        <f>CONCATENATE(B474,I474)</f>
        <v/>
      </c>
      <c r="H474" s="5">
        <f>IF(ISBLANK(B474),"",IF(B474="ALI",IF(I474="L",7,IF(I474="A",10,15)),IF(B474="AIE",IF(I474="L",5,IF(I474="A",7,10)),IF(B474="SE",IF(I474="L",4,IF(I474="A",5,7)),IF(OR(B474="EE",B474="CE"),IF(I474="L",3,IF(I474="A",4,6)),0)))))</f>
        <v/>
      </c>
      <c r="I474" s="110">
        <f>IF(OR(ISBLANK(D474),ISBLANK(E474)),IF(OR(B474="ALI",B474="AIE"),"L",IF(OR(B474="EE",B474="SE",B474="CE"),"A","")),IF(B474="EE",IF(E474&gt;=3,IF(D474&gt;=5,"H","A"),IF(E474&gt;=2,IF(D474&gt;=16,"H",IF(D474&lt;=4,"L","A")),IF(D474&lt;=15,"L","A"))),IF(OR(B474="SE",B474="CE"),IF(E474&gt;=4,IF(D474&gt;=6,"H","A"),IF(E474&gt;=2,IF(D474&gt;=20,"H",IF(D474&lt;=5,"L","A")),IF(D474&lt;=19,"L","A"))),IF(OR(B474="ALI",B474="AIE"),IF(E474&gt;=6,IF(D474&gt;=20,"H","A"),IF(E474&gt;=2,IF(D474&gt;=51,"H",IF(D474&lt;=19,"L","A")),IF(D474&lt;=50,"L","A"))),""))))</f>
        <v/>
      </c>
      <c r="J474" s="7">
        <f>CONCATENATE(B474,C474)</f>
        <v/>
      </c>
      <c r="K474" s="9">
        <f>IF(OR(H474="",H474=0),L474,H474)</f>
        <v/>
      </c>
      <c r="L474" s="9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 t="n"/>
      <c r="N474" s="115" t="n"/>
      <c r="O474" s="6" t="n"/>
    </row>
    <row r="475">
      <c r="A475" s="112" t="n"/>
      <c r="B475" s="4" t="n"/>
      <c r="C475" s="4" t="n"/>
      <c r="D475" s="7" t="n"/>
      <c r="E475" s="7" t="n"/>
      <c r="F475" s="8">
        <f>IF(ISBLANK(B475),"",IF(I475="L","Baixa",IF(I475="A","Média",IF(I475="","","Alta"))))</f>
        <v/>
      </c>
      <c r="G475" s="7">
        <f>CONCATENATE(B475,I475)</f>
        <v/>
      </c>
      <c r="H475" s="5">
        <f>IF(ISBLANK(B475),"",IF(B475="ALI",IF(I475="L",7,IF(I475="A",10,15)),IF(B475="AIE",IF(I475="L",5,IF(I475="A",7,10)),IF(B475="SE",IF(I475="L",4,IF(I475="A",5,7)),IF(OR(B475="EE",B475="CE"),IF(I475="L",3,IF(I475="A",4,6)),0)))))</f>
        <v/>
      </c>
      <c r="I475" s="110">
        <f>IF(OR(ISBLANK(D475),ISBLANK(E475)),IF(OR(B475="ALI",B475="AIE"),"L",IF(OR(B475="EE",B475="SE",B475="CE"),"A","")),IF(B475="EE",IF(E475&gt;=3,IF(D475&gt;=5,"H","A"),IF(E475&gt;=2,IF(D475&gt;=16,"H",IF(D475&lt;=4,"L","A")),IF(D475&lt;=15,"L","A"))),IF(OR(B475="SE",B475="CE"),IF(E475&gt;=4,IF(D475&gt;=6,"H","A"),IF(E475&gt;=2,IF(D475&gt;=20,"H",IF(D475&lt;=5,"L","A")),IF(D475&lt;=19,"L","A"))),IF(OR(B475="ALI",B475="AIE"),IF(E475&gt;=6,IF(D475&gt;=20,"H","A"),IF(E475&gt;=2,IF(D475&gt;=51,"H",IF(D475&lt;=19,"L","A")),IF(D475&lt;=50,"L","A"))),""))))</f>
        <v/>
      </c>
      <c r="J475" s="7">
        <f>CONCATENATE(B475,C475)</f>
        <v/>
      </c>
      <c r="K475" s="9">
        <f>IF(OR(H475="",H475=0),L475,H475)</f>
        <v/>
      </c>
      <c r="L475" s="9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 t="n"/>
      <c r="N475" s="115" t="n"/>
      <c r="O475" s="6" t="n"/>
    </row>
    <row r="476">
      <c r="A476" s="112" t="n"/>
      <c r="B476" s="4" t="n"/>
      <c r="C476" s="4" t="n"/>
      <c r="D476" s="7" t="n"/>
      <c r="E476" s="7" t="n"/>
      <c r="F476" s="8">
        <f>IF(ISBLANK(B476),"",IF(I476="L","Baixa",IF(I476="A","Média",IF(I476="","","Alta"))))</f>
        <v/>
      </c>
      <c r="G476" s="7">
        <f>CONCATENATE(B476,I476)</f>
        <v/>
      </c>
      <c r="H476" s="5">
        <f>IF(ISBLANK(B476),"",IF(B476="ALI",IF(I476="L",7,IF(I476="A",10,15)),IF(B476="AIE",IF(I476="L",5,IF(I476="A",7,10)),IF(B476="SE",IF(I476="L",4,IF(I476="A",5,7)),IF(OR(B476="EE",B476="CE"),IF(I476="L",3,IF(I476="A",4,6)),0)))))</f>
        <v/>
      </c>
      <c r="I476" s="110">
        <f>IF(OR(ISBLANK(D476),ISBLANK(E476)),IF(OR(B476="ALI",B476="AIE"),"L",IF(OR(B476="EE",B476="SE",B476="CE"),"A","")),IF(B476="EE",IF(E476&gt;=3,IF(D476&gt;=5,"H","A"),IF(E476&gt;=2,IF(D476&gt;=16,"H",IF(D476&lt;=4,"L","A")),IF(D476&lt;=15,"L","A"))),IF(OR(B476="SE",B476="CE"),IF(E476&gt;=4,IF(D476&gt;=6,"H","A"),IF(E476&gt;=2,IF(D476&gt;=20,"H",IF(D476&lt;=5,"L","A")),IF(D476&lt;=19,"L","A"))),IF(OR(B476="ALI",B476="AIE"),IF(E476&gt;=6,IF(D476&gt;=20,"H","A"),IF(E476&gt;=2,IF(D476&gt;=51,"H",IF(D476&lt;=19,"L","A")),IF(D476&lt;=50,"L","A"))),""))))</f>
        <v/>
      </c>
      <c r="J476" s="7">
        <f>CONCATENATE(B476,C476)</f>
        <v/>
      </c>
      <c r="K476" s="9">
        <f>IF(OR(H476="",H476=0),L476,H476)</f>
        <v/>
      </c>
      <c r="L476" s="9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 t="n"/>
      <c r="N476" s="115" t="n"/>
      <c r="O476" s="6" t="n"/>
    </row>
    <row r="477">
      <c r="A477" s="112" t="n"/>
      <c r="B477" s="4" t="n"/>
      <c r="C477" s="4" t="n"/>
      <c r="D477" s="7" t="n"/>
      <c r="E477" s="7" t="n"/>
      <c r="F477" s="8">
        <f>IF(ISBLANK(B477),"",IF(I477="L","Baixa",IF(I477="A","Média",IF(I477="","","Alta"))))</f>
        <v/>
      </c>
      <c r="G477" s="7">
        <f>CONCATENATE(B477,I477)</f>
        <v/>
      </c>
      <c r="H477" s="5">
        <f>IF(ISBLANK(B477),"",IF(B477="ALI",IF(I477="L",7,IF(I477="A",10,15)),IF(B477="AIE",IF(I477="L",5,IF(I477="A",7,10)),IF(B477="SE",IF(I477="L",4,IF(I477="A",5,7)),IF(OR(B477="EE",B477="CE"),IF(I477="L",3,IF(I477="A",4,6)),0)))))</f>
        <v/>
      </c>
      <c r="I477" s="110">
        <f>IF(OR(ISBLANK(D477),ISBLANK(E477)),IF(OR(B477="ALI",B477="AIE"),"L",IF(OR(B477="EE",B477="SE",B477="CE"),"A","")),IF(B477="EE",IF(E477&gt;=3,IF(D477&gt;=5,"H","A"),IF(E477&gt;=2,IF(D477&gt;=16,"H",IF(D477&lt;=4,"L","A")),IF(D477&lt;=15,"L","A"))),IF(OR(B477="SE",B477="CE"),IF(E477&gt;=4,IF(D477&gt;=6,"H","A"),IF(E477&gt;=2,IF(D477&gt;=20,"H",IF(D477&lt;=5,"L","A")),IF(D477&lt;=19,"L","A"))),IF(OR(B477="ALI",B477="AIE"),IF(E477&gt;=6,IF(D477&gt;=20,"H","A"),IF(E477&gt;=2,IF(D477&gt;=51,"H",IF(D477&lt;=19,"L","A")),IF(D477&lt;=50,"L","A"))),""))))</f>
        <v/>
      </c>
      <c r="J477" s="7">
        <f>CONCATENATE(B477,C477)</f>
        <v/>
      </c>
      <c r="K477" s="9">
        <f>IF(OR(H477="",H477=0),L477,H477)</f>
        <v/>
      </c>
      <c r="L477" s="9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 t="n"/>
      <c r="N477" s="115" t="n"/>
      <c r="O477" s="6" t="n"/>
    </row>
    <row r="478">
      <c r="A478" s="112" t="n"/>
      <c r="B478" s="4" t="n"/>
      <c r="C478" s="4" t="n"/>
      <c r="D478" s="7" t="n"/>
      <c r="E478" s="7" t="n"/>
      <c r="F478" s="8">
        <f>IF(ISBLANK(B478),"",IF(I478="L","Baixa",IF(I478="A","Média",IF(I478="","","Alta"))))</f>
        <v/>
      </c>
      <c r="G478" s="7">
        <f>CONCATENATE(B478,I478)</f>
        <v/>
      </c>
      <c r="H478" s="5">
        <f>IF(ISBLANK(B478),"",IF(B478="ALI",IF(I478="L",7,IF(I478="A",10,15)),IF(B478="AIE",IF(I478="L",5,IF(I478="A",7,10)),IF(B478="SE",IF(I478="L",4,IF(I478="A",5,7)),IF(OR(B478="EE",B478="CE"),IF(I478="L",3,IF(I478="A",4,6)),0)))))</f>
        <v/>
      </c>
      <c r="I478" s="110">
        <f>IF(OR(ISBLANK(D478),ISBLANK(E478)),IF(OR(B478="ALI",B478="AIE"),"L",IF(OR(B478="EE",B478="SE",B478="CE"),"A","")),IF(B478="EE",IF(E478&gt;=3,IF(D478&gt;=5,"H","A"),IF(E478&gt;=2,IF(D478&gt;=16,"H",IF(D478&lt;=4,"L","A")),IF(D478&lt;=15,"L","A"))),IF(OR(B478="SE",B478="CE"),IF(E478&gt;=4,IF(D478&gt;=6,"H","A"),IF(E478&gt;=2,IF(D478&gt;=20,"H",IF(D478&lt;=5,"L","A")),IF(D478&lt;=19,"L","A"))),IF(OR(B478="ALI",B478="AIE"),IF(E478&gt;=6,IF(D478&gt;=20,"H","A"),IF(E478&gt;=2,IF(D478&gt;=51,"H",IF(D478&lt;=19,"L","A")),IF(D478&lt;=50,"L","A"))),""))))</f>
        <v/>
      </c>
      <c r="J478" s="7">
        <f>CONCATENATE(B478,C478)</f>
        <v/>
      </c>
      <c r="K478" s="9">
        <f>IF(OR(H478="",H478=0),L478,H478)</f>
        <v/>
      </c>
      <c r="L478" s="9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 t="n"/>
      <c r="N478" s="115" t="n"/>
      <c r="O478" s="6" t="n"/>
    </row>
    <row r="479">
      <c r="A479" s="112" t="n"/>
      <c r="B479" s="4" t="n"/>
      <c r="C479" s="4" t="n"/>
      <c r="D479" s="7" t="n"/>
      <c r="E479" s="7" t="n"/>
      <c r="F479" s="8">
        <f>IF(ISBLANK(B479),"",IF(I479="L","Baixa",IF(I479="A","Média",IF(I479="","","Alta"))))</f>
        <v/>
      </c>
      <c r="G479" s="7">
        <f>CONCATENATE(B479,I479)</f>
        <v/>
      </c>
      <c r="H479" s="5">
        <f>IF(ISBLANK(B479),"",IF(B479="ALI",IF(I479="L",7,IF(I479="A",10,15)),IF(B479="AIE",IF(I479="L",5,IF(I479="A",7,10)),IF(B479="SE",IF(I479="L",4,IF(I479="A",5,7)),IF(OR(B479="EE",B479="CE"),IF(I479="L",3,IF(I479="A",4,6)),0)))))</f>
        <v/>
      </c>
      <c r="I479" s="110">
        <f>IF(OR(ISBLANK(D479),ISBLANK(E479)),IF(OR(B479="ALI",B479="AIE"),"L",IF(OR(B479="EE",B479="SE",B479="CE"),"A","")),IF(B479="EE",IF(E479&gt;=3,IF(D479&gt;=5,"H","A"),IF(E479&gt;=2,IF(D479&gt;=16,"H",IF(D479&lt;=4,"L","A")),IF(D479&lt;=15,"L","A"))),IF(OR(B479="SE",B479="CE"),IF(E479&gt;=4,IF(D479&gt;=6,"H","A"),IF(E479&gt;=2,IF(D479&gt;=20,"H",IF(D479&lt;=5,"L","A")),IF(D479&lt;=19,"L","A"))),IF(OR(B479="ALI",B479="AIE"),IF(E479&gt;=6,IF(D479&gt;=20,"H","A"),IF(E479&gt;=2,IF(D479&gt;=51,"H",IF(D479&lt;=19,"L","A")),IF(D479&lt;=50,"L","A"))),""))))</f>
        <v/>
      </c>
      <c r="J479" s="7">
        <f>CONCATENATE(B479,C479)</f>
        <v/>
      </c>
      <c r="K479" s="9">
        <f>IF(OR(H479="",H479=0),L479,H479)</f>
        <v/>
      </c>
      <c r="L479" s="9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 t="n"/>
      <c r="N479" s="115" t="n"/>
      <c r="O479" s="6" t="n"/>
    </row>
    <row r="480">
      <c r="A480" s="112" t="n"/>
      <c r="B480" s="4" t="n"/>
      <c r="C480" s="4" t="n"/>
      <c r="D480" s="7" t="n"/>
      <c r="E480" s="7" t="n"/>
      <c r="F480" s="8">
        <f>IF(ISBLANK(B480),"",IF(I480="L","Baixa",IF(I480="A","Média",IF(I480="","","Alta"))))</f>
        <v/>
      </c>
      <c r="G480" s="7">
        <f>CONCATENATE(B480,I480)</f>
        <v/>
      </c>
      <c r="H480" s="5">
        <f>IF(ISBLANK(B480),"",IF(B480="ALI",IF(I480="L",7,IF(I480="A",10,15)),IF(B480="AIE",IF(I480="L",5,IF(I480="A",7,10)),IF(B480="SE",IF(I480="L",4,IF(I480="A",5,7)),IF(OR(B480="EE",B480="CE"),IF(I480="L",3,IF(I480="A",4,6)),0)))))</f>
        <v/>
      </c>
      <c r="I480" s="110">
        <f>IF(OR(ISBLANK(D480),ISBLANK(E480)),IF(OR(B480="ALI",B480="AIE"),"L",IF(OR(B480="EE",B480="SE",B480="CE"),"A","")),IF(B480="EE",IF(E480&gt;=3,IF(D480&gt;=5,"H","A"),IF(E480&gt;=2,IF(D480&gt;=16,"H",IF(D480&lt;=4,"L","A")),IF(D480&lt;=15,"L","A"))),IF(OR(B480="SE",B480="CE"),IF(E480&gt;=4,IF(D480&gt;=6,"H","A"),IF(E480&gt;=2,IF(D480&gt;=20,"H",IF(D480&lt;=5,"L","A")),IF(D480&lt;=19,"L","A"))),IF(OR(B480="ALI",B480="AIE"),IF(E480&gt;=6,IF(D480&gt;=20,"H","A"),IF(E480&gt;=2,IF(D480&gt;=51,"H",IF(D480&lt;=19,"L","A")),IF(D480&lt;=50,"L","A"))),""))))</f>
        <v/>
      </c>
      <c r="J480" s="7">
        <f>CONCATENATE(B480,C480)</f>
        <v/>
      </c>
      <c r="K480" s="9">
        <f>IF(OR(H480="",H480=0),L480,H480)</f>
        <v/>
      </c>
      <c r="L480" s="9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 t="n"/>
      <c r="N480" s="115" t="n"/>
      <c r="O480" s="6" t="n"/>
    </row>
    <row r="481">
      <c r="A481" s="112" t="n"/>
      <c r="B481" s="4" t="n"/>
      <c r="C481" s="4" t="n"/>
      <c r="D481" s="7" t="n"/>
      <c r="E481" s="7" t="n"/>
      <c r="F481" s="8">
        <f>IF(ISBLANK(B481),"",IF(I481="L","Baixa",IF(I481="A","Média",IF(I481="","","Alta"))))</f>
        <v/>
      </c>
      <c r="G481" s="7">
        <f>CONCATENATE(B481,I481)</f>
        <v/>
      </c>
      <c r="H481" s="5">
        <f>IF(ISBLANK(B481),"",IF(B481="ALI",IF(I481="L",7,IF(I481="A",10,15)),IF(B481="AIE",IF(I481="L",5,IF(I481="A",7,10)),IF(B481="SE",IF(I481="L",4,IF(I481="A",5,7)),IF(OR(B481="EE",B481="CE"),IF(I481="L",3,IF(I481="A",4,6)),0)))))</f>
        <v/>
      </c>
      <c r="I481" s="110">
        <f>IF(OR(ISBLANK(D481),ISBLANK(E481)),IF(OR(B481="ALI",B481="AIE"),"L",IF(OR(B481="EE",B481="SE",B481="CE"),"A","")),IF(B481="EE",IF(E481&gt;=3,IF(D481&gt;=5,"H","A"),IF(E481&gt;=2,IF(D481&gt;=16,"H",IF(D481&lt;=4,"L","A")),IF(D481&lt;=15,"L","A"))),IF(OR(B481="SE",B481="CE"),IF(E481&gt;=4,IF(D481&gt;=6,"H","A"),IF(E481&gt;=2,IF(D481&gt;=20,"H",IF(D481&lt;=5,"L","A")),IF(D481&lt;=19,"L","A"))),IF(OR(B481="ALI",B481="AIE"),IF(E481&gt;=6,IF(D481&gt;=20,"H","A"),IF(E481&gt;=2,IF(D481&gt;=51,"H",IF(D481&lt;=19,"L","A")),IF(D481&lt;=50,"L","A"))),""))))</f>
        <v/>
      </c>
      <c r="J481" s="7">
        <f>CONCATENATE(B481,C481)</f>
        <v/>
      </c>
      <c r="K481" s="9">
        <f>IF(OR(H481="",H481=0),L481,H481)</f>
        <v/>
      </c>
      <c r="L481" s="9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 t="n"/>
      <c r="N481" s="115" t="n"/>
      <c r="O481" s="6" t="n"/>
    </row>
    <row r="482">
      <c r="A482" s="112" t="n"/>
      <c r="B482" s="4" t="n"/>
      <c r="C482" s="4" t="n"/>
      <c r="D482" s="7" t="n"/>
      <c r="E482" s="7" t="n"/>
      <c r="F482" s="8">
        <f>IF(ISBLANK(B482),"",IF(I482="L","Baixa",IF(I482="A","Média",IF(I482="","","Alta"))))</f>
        <v/>
      </c>
      <c r="G482" s="7">
        <f>CONCATENATE(B482,I482)</f>
        <v/>
      </c>
      <c r="H482" s="5">
        <f>IF(ISBLANK(B482),"",IF(B482="ALI",IF(I482="L",7,IF(I482="A",10,15)),IF(B482="AIE",IF(I482="L",5,IF(I482="A",7,10)),IF(B482="SE",IF(I482="L",4,IF(I482="A",5,7)),IF(OR(B482="EE",B482="CE"),IF(I482="L",3,IF(I482="A",4,6)),0)))))</f>
        <v/>
      </c>
      <c r="I482" s="110">
        <f>IF(OR(ISBLANK(D482),ISBLANK(E482)),IF(OR(B482="ALI",B482="AIE"),"L",IF(OR(B482="EE",B482="SE",B482="CE"),"A","")),IF(B482="EE",IF(E482&gt;=3,IF(D482&gt;=5,"H","A"),IF(E482&gt;=2,IF(D482&gt;=16,"H",IF(D482&lt;=4,"L","A")),IF(D482&lt;=15,"L","A"))),IF(OR(B482="SE",B482="CE"),IF(E482&gt;=4,IF(D482&gt;=6,"H","A"),IF(E482&gt;=2,IF(D482&gt;=20,"H",IF(D482&lt;=5,"L","A")),IF(D482&lt;=19,"L","A"))),IF(OR(B482="ALI",B482="AIE"),IF(E482&gt;=6,IF(D482&gt;=20,"H","A"),IF(E482&gt;=2,IF(D482&gt;=51,"H",IF(D482&lt;=19,"L","A")),IF(D482&lt;=50,"L","A"))),""))))</f>
        <v/>
      </c>
      <c r="J482" s="7">
        <f>CONCATENATE(B482,C482)</f>
        <v/>
      </c>
      <c r="K482" s="9">
        <f>IF(OR(H482="",H482=0),L482,H482)</f>
        <v/>
      </c>
      <c r="L482" s="9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 t="n"/>
      <c r="N482" s="115" t="n"/>
      <c r="O482" s="6" t="n"/>
    </row>
    <row r="483">
      <c r="A483" s="112" t="n"/>
      <c r="B483" s="4" t="n"/>
      <c r="C483" s="4" t="n"/>
      <c r="D483" s="7" t="n"/>
      <c r="E483" s="7" t="n"/>
      <c r="F483" s="8">
        <f>IF(ISBLANK(B483),"",IF(I483="L","Baixa",IF(I483="A","Média",IF(I483="","","Alta"))))</f>
        <v/>
      </c>
      <c r="G483" s="7">
        <f>CONCATENATE(B483,I483)</f>
        <v/>
      </c>
      <c r="H483" s="5">
        <f>IF(ISBLANK(B483),"",IF(B483="ALI",IF(I483="L",7,IF(I483="A",10,15)),IF(B483="AIE",IF(I483="L",5,IF(I483="A",7,10)),IF(B483="SE",IF(I483="L",4,IF(I483="A",5,7)),IF(OR(B483="EE",B483="CE"),IF(I483="L",3,IF(I483="A",4,6)),0)))))</f>
        <v/>
      </c>
      <c r="I483" s="110">
        <f>IF(OR(ISBLANK(D483),ISBLANK(E483)),IF(OR(B483="ALI",B483="AIE"),"L",IF(OR(B483="EE",B483="SE",B483="CE"),"A","")),IF(B483="EE",IF(E483&gt;=3,IF(D483&gt;=5,"H","A"),IF(E483&gt;=2,IF(D483&gt;=16,"H",IF(D483&lt;=4,"L","A")),IF(D483&lt;=15,"L","A"))),IF(OR(B483="SE",B483="CE"),IF(E483&gt;=4,IF(D483&gt;=6,"H","A"),IF(E483&gt;=2,IF(D483&gt;=20,"H",IF(D483&lt;=5,"L","A")),IF(D483&lt;=19,"L","A"))),IF(OR(B483="ALI",B483="AIE"),IF(E483&gt;=6,IF(D483&gt;=20,"H","A"),IF(E483&gt;=2,IF(D483&gt;=51,"H",IF(D483&lt;=19,"L","A")),IF(D483&lt;=50,"L","A"))),""))))</f>
        <v/>
      </c>
      <c r="J483" s="7">
        <f>CONCATENATE(B483,C483)</f>
        <v/>
      </c>
      <c r="K483" s="9">
        <f>IF(OR(H483="",H483=0),L483,H483)</f>
        <v/>
      </c>
      <c r="L483" s="9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 t="n"/>
      <c r="N483" s="115" t="n"/>
      <c r="O483" s="6" t="n"/>
    </row>
    <row r="484">
      <c r="A484" s="112" t="n"/>
      <c r="B484" s="4" t="n"/>
      <c r="C484" s="4" t="n"/>
      <c r="D484" s="7" t="n"/>
      <c r="E484" s="7" t="n"/>
      <c r="F484" s="8">
        <f>IF(ISBLANK(B484),"",IF(I484="L","Baixa",IF(I484="A","Média",IF(I484="","","Alta"))))</f>
        <v/>
      </c>
      <c r="G484" s="7">
        <f>CONCATENATE(B484,I484)</f>
        <v/>
      </c>
      <c r="H484" s="5">
        <f>IF(ISBLANK(B484),"",IF(B484="ALI",IF(I484="L",7,IF(I484="A",10,15)),IF(B484="AIE",IF(I484="L",5,IF(I484="A",7,10)),IF(B484="SE",IF(I484="L",4,IF(I484="A",5,7)),IF(OR(B484="EE",B484="CE"),IF(I484="L",3,IF(I484="A",4,6)),0)))))</f>
        <v/>
      </c>
      <c r="I484" s="110">
        <f>IF(OR(ISBLANK(D484),ISBLANK(E484)),IF(OR(B484="ALI",B484="AIE"),"L",IF(OR(B484="EE",B484="SE",B484="CE"),"A","")),IF(B484="EE",IF(E484&gt;=3,IF(D484&gt;=5,"H","A"),IF(E484&gt;=2,IF(D484&gt;=16,"H",IF(D484&lt;=4,"L","A")),IF(D484&lt;=15,"L","A"))),IF(OR(B484="SE",B484="CE"),IF(E484&gt;=4,IF(D484&gt;=6,"H","A"),IF(E484&gt;=2,IF(D484&gt;=20,"H",IF(D484&lt;=5,"L","A")),IF(D484&lt;=19,"L","A"))),IF(OR(B484="ALI",B484="AIE"),IF(E484&gt;=6,IF(D484&gt;=20,"H","A"),IF(E484&gt;=2,IF(D484&gt;=51,"H",IF(D484&lt;=19,"L","A")),IF(D484&lt;=50,"L","A"))),""))))</f>
        <v/>
      </c>
      <c r="J484" s="7">
        <f>CONCATENATE(B484,C484)</f>
        <v/>
      </c>
      <c r="K484" s="9">
        <f>IF(OR(H484="",H484=0),L484,H484)</f>
        <v/>
      </c>
      <c r="L484" s="9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 t="n"/>
      <c r="N484" s="115" t="n"/>
      <c r="O484" s="6" t="n"/>
    </row>
    <row r="485">
      <c r="A485" s="112" t="n"/>
      <c r="B485" s="4" t="n"/>
      <c r="C485" s="4" t="n"/>
      <c r="D485" s="7" t="n"/>
      <c r="E485" s="7" t="n"/>
      <c r="F485" s="8">
        <f>IF(ISBLANK(B485),"",IF(I485="L","Baixa",IF(I485="A","Média",IF(I485="","","Alta"))))</f>
        <v/>
      </c>
      <c r="G485" s="7">
        <f>CONCATENATE(B485,I485)</f>
        <v/>
      </c>
      <c r="H485" s="5">
        <f>IF(ISBLANK(B485),"",IF(B485="ALI",IF(I485="L",7,IF(I485="A",10,15)),IF(B485="AIE",IF(I485="L",5,IF(I485="A",7,10)),IF(B485="SE",IF(I485="L",4,IF(I485="A",5,7)),IF(OR(B485="EE",B485="CE"),IF(I485="L",3,IF(I485="A",4,6)),0)))))</f>
        <v/>
      </c>
      <c r="I485" s="110">
        <f>IF(OR(ISBLANK(D485),ISBLANK(E485)),IF(OR(B485="ALI",B485="AIE"),"L",IF(OR(B485="EE",B485="SE",B485="CE"),"A","")),IF(B485="EE",IF(E485&gt;=3,IF(D485&gt;=5,"H","A"),IF(E485&gt;=2,IF(D485&gt;=16,"H",IF(D485&lt;=4,"L","A")),IF(D485&lt;=15,"L","A"))),IF(OR(B485="SE",B485="CE"),IF(E485&gt;=4,IF(D485&gt;=6,"H","A"),IF(E485&gt;=2,IF(D485&gt;=20,"H",IF(D485&lt;=5,"L","A")),IF(D485&lt;=19,"L","A"))),IF(OR(B485="ALI",B485="AIE"),IF(E485&gt;=6,IF(D485&gt;=20,"H","A"),IF(E485&gt;=2,IF(D485&gt;=51,"H",IF(D485&lt;=19,"L","A")),IF(D485&lt;=50,"L","A"))),""))))</f>
        <v/>
      </c>
      <c r="J485" s="7">
        <f>CONCATENATE(B485,C485)</f>
        <v/>
      </c>
      <c r="K485" s="9">
        <f>IF(OR(H485="",H485=0),L485,H485)</f>
        <v/>
      </c>
      <c r="L485" s="9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 t="n"/>
      <c r="N485" s="115" t="n"/>
      <c r="O485" s="6" t="n"/>
    </row>
    <row r="486">
      <c r="A486" s="112" t="n"/>
      <c r="B486" s="4" t="n"/>
      <c r="C486" s="4" t="n"/>
      <c r="D486" s="7" t="n"/>
      <c r="E486" s="7" t="n"/>
      <c r="F486" s="8">
        <f>IF(ISBLANK(B486),"",IF(I486="L","Baixa",IF(I486="A","Média",IF(I486="","","Alta"))))</f>
        <v/>
      </c>
      <c r="G486" s="7">
        <f>CONCATENATE(B486,I486)</f>
        <v/>
      </c>
      <c r="H486" s="5">
        <f>IF(ISBLANK(B486),"",IF(B486="ALI",IF(I486="L",7,IF(I486="A",10,15)),IF(B486="AIE",IF(I486="L",5,IF(I486="A",7,10)),IF(B486="SE",IF(I486="L",4,IF(I486="A",5,7)),IF(OR(B486="EE",B486="CE"),IF(I486="L",3,IF(I486="A",4,6)),0)))))</f>
        <v/>
      </c>
      <c r="I486" s="110">
        <f>IF(OR(ISBLANK(D486),ISBLANK(E486)),IF(OR(B486="ALI",B486="AIE"),"L",IF(OR(B486="EE",B486="SE",B486="CE"),"A","")),IF(B486="EE",IF(E486&gt;=3,IF(D486&gt;=5,"H","A"),IF(E486&gt;=2,IF(D486&gt;=16,"H",IF(D486&lt;=4,"L","A")),IF(D486&lt;=15,"L","A"))),IF(OR(B486="SE",B486="CE"),IF(E486&gt;=4,IF(D486&gt;=6,"H","A"),IF(E486&gt;=2,IF(D486&gt;=20,"H",IF(D486&lt;=5,"L","A")),IF(D486&lt;=19,"L","A"))),IF(OR(B486="ALI",B486="AIE"),IF(E486&gt;=6,IF(D486&gt;=20,"H","A"),IF(E486&gt;=2,IF(D486&gt;=51,"H",IF(D486&lt;=19,"L","A")),IF(D486&lt;=50,"L","A"))),""))))</f>
        <v/>
      </c>
      <c r="J486" s="7">
        <f>CONCATENATE(B486,C486)</f>
        <v/>
      </c>
      <c r="K486" s="9">
        <f>IF(OR(H486="",H486=0),L486,H486)</f>
        <v/>
      </c>
      <c r="L486" s="9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 t="n"/>
      <c r="N486" s="115" t="n"/>
      <c r="O486" s="6" t="n"/>
    </row>
    <row r="487">
      <c r="A487" s="112" t="n"/>
      <c r="B487" s="4" t="n"/>
      <c r="C487" s="4" t="n"/>
      <c r="D487" s="7" t="n"/>
      <c r="E487" s="7" t="n"/>
      <c r="F487" s="8">
        <f>IF(ISBLANK(B487),"",IF(I487="L","Baixa",IF(I487="A","Média",IF(I487="","","Alta"))))</f>
        <v/>
      </c>
      <c r="G487" s="7">
        <f>CONCATENATE(B487,I487)</f>
        <v/>
      </c>
      <c r="H487" s="5">
        <f>IF(ISBLANK(B487),"",IF(B487="ALI",IF(I487="L",7,IF(I487="A",10,15)),IF(B487="AIE",IF(I487="L",5,IF(I487="A",7,10)),IF(B487="SE",IF(I487="L",4,IF(I487="A",5,7)),IF(OR(B487="EE",B487="CE"),IF(I487="L",3,IF(I487="A",4,6)),0)))))</f>
        <v/>
      </c>
      <c r="I487" s="110">
        <f>IF(OR(ISBLANK(D487),ISBLANK(E487)),IF(OR(B487="ALI",B487="AIE"),"L",IF(OR(B487="EE",B487="SE",B487="CE"),"A","")),IF(B487="EE",IF(E487&gt;=3,IF(D487&gt;=5,"H","A"),IF(E487&gt;=2,IF(D487&gt;=16,"H",IF(D487&lt;=4,"L","A")),IF(D487&lt;=15,"L","A"))),IF(OR(B487="SE",B487="CE"),IF(E487&gt;=4,IF(D487&gt;=6,"H","A"),IF(E487&gt;=2,IF(D487&gt;=20,"H",IF(D487&lt;=5,"L","A")),IF(D487&lt;=19,"L","A"))),IF(OR(B487="ALI",B487="AIE"),IF(E487&gt;=6,IF(D487&gt;=20,"H","A"),IF(E487&gt;=2,IF(D487&gt;=51,"H",IF(D487&lt;=19,"L","A")),IF(D487&lt;=50,"L","A"))),""))))</f>
        <v/>
      </c>
      <c r="J487" s="7">
        <f>CONCATENATE(B487,C487)</f>
        <v/>
      </c>
      <c r="K487" s="9">
        <f>IF(OR(H487="",H487=0),L487,H487)</f>
        <v/>
      </c>
      <c r="L487" s="9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 t="n"/>
      <c r="N487" s="115" t="n"/>
      <c r="O487" s="6" t="n"/>
    </row>
    <row r="488">
      <c r="A488" s="112" t="n"/>
      <c r="B488" s="4" t="n"/>
      <c r="C488" s="4" t="n"/>
      <c r="D488" s="7" t="n"/>
      <c r="E488" s="7" t="n"/>
      <c r="F488" s="8">
        <f>IF(ISBLANK(B488),"",IF(I488="L","Baixa",IF(I488="A","Média",IF(I488="","","Alta"))))</f>
        <v/>
      </c>
      <c r="G488" s="7">
        <f>CONCATENATE(B488,I488)</f>
        <v/>
      </c>
      <c r="H488" s="5">
        <f>IF(ISBLANK(B488),"",IF(B488="ALI",IF(I488="L",7,IF(I488="A",10,15)),IF(B488="AIE",IF(I488="L",5,IF(I488="A",7,10)),IF(B488="SE",IF(I488="L",4,IF(I488="A",5,7)),IF(OR(B488="EE",B488="CE"),IF(I488="L",3,IF(I488="A",4,6)),0)))))</f>
        <v/>
      </c>
      <c r="I488" s="110">
        <f>IF(OR(ISBLANK(D488),ISBLANK(E488)),IF(OR(B488="ALI",B488="AIE"),"L",IF(OR(B488="EE",B488="SE",B488="CE"),"A","")),IF(B488="EE",IF(E488&gt;=3,IF(D488&gt;=5,"H","A"),IF(E488&gt;=2,IF(D488&gt;=16,"H",IF(D488&lt;=4,"L","A")),IF(D488&lt;=15,"L","A"))),IF(OR(B488="SE",B488="CE"),IF(E488&gt;=4,IF(D488&gt;=6,"H","A"),IF(E488&gt;=2,IF(D488&gt;=20,"H",IF(D488&lt;=5,"L","A")),IF(D488&lt;=19,"L","A"))),IF(OR(B488="ALI",B488="AIE"),IF(E488&gt;=6,IF(D488&gt;=20,"H","A"),IF(E488&gt;=2,IF(D488&gt;=51,"H",IF(D488&lt;=19,"L","A")),IF(D488&lt;=50,"L","A"))),""))))</f>
        <v/>
      </c>
      <c r="J488" s="7">
        <f>CONCATENATE(B488,C488)</f>
        <v/>
      </c>
      <c r="K488" s="9">
        <f>IF(OR(H488="",H488=0),L488,H488)</f>
        <v/>
      </c>
      <c r="L488" s="9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 t="n"/>
      <c r="N488" s="115" t="n"/>
      <c r="O488" s="6" t="n"/>
    </row>
    <row r="489">
      <c r="A489" s="112" t="n"/>
      <c r="B489" s="4" t="n"/>
      <c r="C489" s="4" t="n"/>
      <c r="D489" s="7" t="n"/>
      <c r="E489" s="7" t="n"/>
      <c r="F489" s="8">
        <f>IF(ISBLANK(B489),"",IF(I489="L","Baixa",IF(I489="A","Média",IF(I489="","","Alta"))))</f>
        <v/>
      </c>
      <c r="G489" s="7">
        <f>CONCATENATE(B489,I489)</f>
        <v/>
      </c>
      <c r="H489" s="5">
        <f>IF(ISBLANK(B489),"",IF(B489="ALI",IF(I489="L",7,IF(I489="A",10,15)),IF(B489="AIE",IF(I489="L",5,IF(I489="A",7,10)),IF(B489="SE",IF(I489="L",4,IF(I489="A",5,7)),IF(OR(B489="EE",B489="CE"),IF(I489="L",3,IF(I489="A",4,6)),0)))))</f>
        <v/>
      </c>
      <c r="I489" s="110">
        <f>IF(OR(ISBLANK(D489),ISBLANK(E489)),IF(OR(B489="ALI",B489="AIE"),"L",IF(OR(B489="EE",B489="SE",B489="CE"),"A","")),IF(B489="EE",IF(E489&gt;=3,IF(D489&gt;=5,"H","A"),IF(E489&gt;=2,IF(D489&gt;=16,"H",IF(D489&lt;=4,"L","A")),IF(D489&lt;=15,"L","A"))),IF(OR(B489="SE",B489="CE"),IF(E489&gt;=4,IF(D489&gt;=6,"H","A"),IF(E489&gt;=2,IF(D489&gt;=20,"H",IF(D489&lt;=5,"L","A")),IF(D489&lt;=19,"L","A"))),IF(OR(B489="ALI",B489="AIE"),IF(E489&gt;=6,IF(D489&gt;=20,"H","A"),IF(E489&gt;=2,IF(D489&gt;=51,"H",IF(D489&lt;=19,"L","A")),IF(D489&lt;=50,"L","A"))),""))))</f>
        <v/>
      </c>
      <c r="J489" s="7">
        <f>CONCATENATE(B489,C489)</f>
        <v/>
      </c>
      <c r="K489" s="9">
        <f>IF(OR(H489="",H489=0),L489,H489)</f>
        <v/>
      </c>
      <c r="L489" s="9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 t="n"/>
      <c r="N489" s="115" t="n"/>
      <c r="O489" s="6" t="n"/>
    </row>
    <row r="490">
      <c r="A490" s="112" t="n"/>
      <c r="B490" s="4" t="n"/>
      <c r="C490" s="4" t="n"/>
      <c r="D490" s="7" t="n"/>
      <c r="E490" s="7" t="n"/>
      <c r="F490" s="8">
        <f>IF(ISBLANK(B490),"",IF(I490="L","Baixa",IF(I490="A","Média",IF(I490="","","Alta"))))</f>
        <v/>
      </c>
      <c r="G490" s="7">
        <f>CONCATENATE(B490,I490)</f>
        <v/>
      </c>
      <c r="H490" s="5">
        <f>IF(ISBLANK(B490),"",IF(B490="ALI",IF(I490="L",7,IF(I490="A",10,15)),IF(B490="AIE",IF(I490="L",5,IF(I490="A",7,10)),IF(B490="SE",IF(I490="L",4,IF(I490="A",5,7)),IF(OR(B490="EE",B490="CE"),IF(I490="L",3,IF(I490="A",4,6)),0)))))</f>
        <v/>
      </c>
      <c r="I490" s="110">
        <f>IF(OR(ISBLANK(D490),ISBLANK(E490)),IF(OR(B490="ALI",B490="AIE"),"L",IF(OR(B490="EE",B490="SE",B490="CE"),"A","")),IF(B490="EE",IF(E490&gt;=3,IF(D490&gt;=5,"H","A"),IF(E490&gt;=2,IF(D490&gt;=16,"H",IF(D490&lt;=4,"L","A")),IF(D490&lt;=15,"L","A"))),IF(OR(B490="SE",B490="CE"),IF(E490&gt;=4,IF(D490&gt;=6,"H","A"),IF(E490&gt;=2,IF(D490&gt;=20,"H",IF(D490&lt;=5,"L","A")),IF(D490&lt;=19,"L","A"))),IF(OR(B490="ALI",B490="AIE"),IF(E490&gt;=6,IF(D490&gt;=20,"H","A"),IF(E490&gt;=2,IF(D490&gt;=51,"H",IF(D490&lt;=19,"L","A")),IF(D490&lt;=50,"L","A"))),""))))</f>
        <v/>
      </c>
      <c r="J490" s="7">
        <f>CONCATENATE(B490,C490)</f>
        <v/>
      </c>
      <c r="K490" s="9">
        <f>IF(OR(H490="",H490=0),L490,H490)</f>
        <v/>
      </c>
      <c r="L490" s="9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 t="n"/>
      <c r="N490" s="115" t="n"/>
      <c r="O490" s="6" t="n"/>
    </row>
    <row r="491">
      <c r="A491" s="112" t="n"/>
      <c r="B491" s="4" t="n"/>
      <c r="C491" s="4" t="n"/>
      <c r="D491" s="7" t="n"/>
      <c r="E491" s="7" t="n"/>
      <c r="F491" s="8">
        <f>IF(ISBLANK(B491),"",IF(I491="L","Baixa",IF(I491="A","Média",IF(I491="","","Alta"))))</f>
        <v/>
      </c>
      <c r="G491" s="7">
        <f>CONCATENATE(B491,I491)</f>
        <v/>
      </c>
      <c r="H491" s="5">
        <f>IF(ISBLANK(B491),"",IF(B491="ALI",IF(I491="L",7,IF(I491="A",10,15)),IF(B491="AIE",IF(I491="L",5,IF(I491="A",7,10)),IF(B491="SE",IF(I491="L",4,IF(I491="A",5,7)),IF(OR(B491="EE",B491="CE"),IF(I491="L",3,IF(I491="A",4,6)),0)))))</f>
        <v/>
      </c>
      <c r="I491" s="110">
        <f>IF(OR(ISBLANK(D491),ISBLANK(E491)),IF(OR(B491="ALI",B491="AIE"),"L",IF(OR(B491="EE",B491="SE",B491="CE"),"A","")),IF(B491="EE",IF(E491&gt;=3,IF(D491&gt;=5,"H","A"),IF(E491&gt;=2,IF(D491&gt;=16,"H",IF(D491&lt;=4,"L","A")),IF(D491&lt;=15,"L","A"))),IF(OR(B491="SE",B491="CE"),IF(E491&gt;=4,IF(D491&gt;=6,"H","A"),IF(E491&gt;=2,IF(D491&gt;=20,"H",IF(D491&lt;=5,"L","A")),IF(D491&lt;=19,"L","A"))),IF(OR(B491="ALI",B491="AIE"),IF(E491&gt;=6,IF(D491&gt;=20,"H","A"),IF(E491&gt;=2,IF(D491&gt;=51,"H",IF(D491&lt;=19,"L","A")),IF(D491&lt;=50,"L","A"))),""))))</f>
        <v/>
      </c>
      <c r="J491" s="7">
        <f>CONCATENATE(B491,C491)</f>
        <v/>
      </c>
      <c r="K491" s="9">
        <f>IF(OR(H491="",H491=0),L491,H491)</f>
        <v/>
      </c>
      <c r="L491" s="9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 t="n"/>
      <c r="N491" s="115" t="n"/>
      <c r="O491" s="6" t="n"/>
    </row>
    <row r="492">
      <c r="A492" s="112" t="n"/>
      <c r="B492" s="4" t="n"/>
      <c r="C492" s="4" t="n"/>
      <c r="D492" s="7" t="n"/>
      <c r="E492" s="7" t="n"/>
      <c r="F492" s="8">
        <f>IF(ISBLANK(B492),"",IF(I492="L","Baixa",IF(I492="A","Média",IF(I492="","","Alta"))))</f>
        <v/>
      </c>
      <c r="G492" s="7">
        <f>CONCATENATE(B492,I492)</f>
        <v/>
      </c>
      <c r="H492" s="5">
        <f>IF(ISBLANK(B492),"",IF(B492="ALI",IF(I492="L",7,IF(I492="A",10,15)),IF(B492="AIE",IF(I492="L",5,IF(I492="A",7,10)),IF(B492="SE",IF(I492="L",4,IF(I492="A",5,7)),IF(OR(B492="EE",B492="CE"),IF(I492="L",3,IF(I492="A",4,6)),0)))))</f>
        <v/>
      </c>
      <c r="I492" s="110">
        <f>IF(OR(ISBLANK(D492),ISBLANK(E492)),IF(OR(B492="ALI",B492="AIE"),"L",IF(OR(B492="EE",B492="SE",B492="CE"),"A","")),IF(B492="EE",IF(E492&gt;=3,IF(D492&gt;=5,"H","A"),IF(E492&gt;=2,IF(D492&gt;=16,"H",IF(D492&lt;=4,"L","A")),IF(D492&lt;=15,"L","A"))),IF(OR(B492="SE",B492="CE"),IF(E492&gt;=4,IF(D492&gt;=6,"H","A"),IF(E492&gt;=2,IF(D492&gt;=20,"H",IF(D492&lt;=5,"L","A")),IF(D492&lt;=19,"L","A"))),IF(OR(B492="ALI",B492="AIE"),IF(E492&gt;=6,IF(D492&gt;=20,"H","A"),IF(E492&gt;=2,IF(D492&gt;=51,"H",IF(D492&lt;=19,"L","A")),IF(D492&lt;=50,"L","A"))),""))))</f>
        <v/>
      </c>
      <c r="J492" s="7">
        <f>CONCATENATE(B492,C492)</f>
        <v/>
      </c>
      <c r="K492" s="9">
        <f>IF(OR(H492="",H492=0),L492,H492)</f>
        <v/>
      </c>
      <c r="L492" s="9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 t="n"/>
      <c r="N492" s="115" t="n"/>
      <c r="O492" s="6" t="n"/>
    </row>
    <row r="493">
      <c r="A493" s="112" t="n"/>
      <c r="B493" s="4" t="n"/>
      <c r="C493" s="4" t="n"/>
      <c r="D493" s="7" t="n"/>
      <c r="E493" s="7" t="n"/>
      <c r="F493" s="8">
        <f>IF(ISBLANK(B493),"",IF(I493="L","Baixa",IF(I493="A","Média",IF(I493="","","Alta"))))</f>
        <v/>
      </c>
      <c r="G493" s="7">
        <f>CONCATENATE(B493,I493)</f>
        <v/>
      </c>
      <c r="H493" s="5">
        <f>IF(ISBLANK(B493),"",IF(B493="ALI",IF(I493="L",7,IF(I493="A",10,15)),IF(B493="AIE",IF(I493="L",5,IF(I493="A",7,10)),IF(B493="SE",IF(I493="L",4,IF(I493="A",5,7)),IF(OR(B493="EE",B493="CE"),IF(I493="L",3,IF(I493="A",4,6)),0)))))</f>
        <v/>
      </c>
      <c r="I493" s="110">
        <f>IF(OR(ISBLANK(D493),ISBLANK(E493)),IF(OR(B493="ALI",B493="AIE"),"L",IF(OR(B493="EE",B493="SE",B493="CE"),"A","")),IF(B493="EE",IF(E493&gt;=3,IF(D493&gt;=5,"H","A"),IF(E493&gt;=2,IF(D493&gt;=16,"H",IF(D493&lt;=4,"L","A")),IF(D493&lt;=15,"L","A"))),IF(OR(B493="SE",B493="CE"),IF(E493&gt;=4,IF(D493&gt;=6,"H","A"),IF(E493&gt;=2,IF(D493&gt;=20,"H",IF(D493&lt;=5,"L","A")),IF(D493&lt;=19,"L","A"))),IF(OR(B493="ALI",B493="AIE"),IF(E493&gt;=6,IF(D493&gt;=20,"H","A"),IF(E493&gt;=2,IF(D493&gt;=51,"H",IF(D493&lt;=19,"L","A")),IF(D493&lt;=50,"L","A"))),""))))</f>
        <v/>
      </c>
      <c r="J493" s="7">
        <f>CONCATENATE(B493,C493)</f>
        <v/>
      </c>
      <c r="K493" s="9">
        <f>IF(OR(H493="",H493=0),L493,H493)</f>
        <v/>
      </c>
      <c r="L493" s="9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 t="n"/>
      <c r="N493" s="115" t="n"/>
      <c r="O493" s="6" t="n"/>
    </row>
    <row r="494">
      <c r="A494" s="112" t="n"/>
      <c r="B494" s="4" t="n"/>
      <c r="C494" s="4" t="n"/>
      <c r="D494" s="7" t="n"/>
      <c r="E494" s="7" t="n"/>
      <c r="F494" s="8">
        <f>IF(ISBLANK(B494),"",IF(I494="L","Baixa",IF(I494="A","Média",IF(I494="","","Alta"))))</f>
        <v/>
      </c>
      <c r="G494" s="7">
        <f>CONCATENATE(B494,I494)</f>
        <v/>
      </c>
      <c r="H494" s="5">
        <f>IF(ISBLANK(B494),"",IF(B494="ALI",IF(I494="L",7,IF(I494="A",10,15)),IF(B494="AIE",IF(I494="L",5,IF(I494="A",7,10)),IF(B494="SE",IF(I494="L",4,IF(I494="A",5,7)),IF(OR(B494="EE",B494="CE"),IF(I494="L",3,IF(I494="A",4,6)),0)))))</f>
        <v/>
      </c>
      <c r="I494" s="110">
        <f>IF(OR(ISBLANK(D494),ISBLANK(E494)),IF(OR(B494="ALI",B494="AIE"),"L",IF(OR(B494="EE",B494="SE",B494="CE"),"A","")),IF(B494="EE",IF(E494&gt;=3,IF(D494&gt;=5,"H","A"),IF(E494&gt;=2,IF(D494&gt;=16,"H",IF(D494&lt;=4,"L","A")),IF(D494&lt;=15,"L","A"))),IF(OR(B494="SE",B494="CE"),IF(E494&gt;=4,IF(D494&gt;=6,"H","A"),IF(E494&gt;=2,IF(D494&gt;=20,"H",IF(D494&lt;=5,"L","A")),IF(D494&lt;=19,"L","A"))),IF(OR(B494="ALI",B494="AIE"),IF(E494&gt;=6,IF(D494&gt;=20,"H","A"),IF(E494&gt;=2,IF(D494&gt;=51,"H",IF(D494&lt;=19,"L","A")),IF(D494&lt;=50,"L","A"))),""))))</f>
        <v/>
      </c>
      <c r="J494" s="7">
        <f>CONCATENATE(B494,C494)</f>
        <v/>
      </c>
      <c r="K494" s="9">
        <f>IF(OR(H494="",H494=0),L494,H494)</f>
        <v/>
      </c>
      <c r="L494" s="9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 t="n"/>
      <c r="N494" s="115" t="n"/>
      <c r="O494" s="6" t="n"/>
    </row>
    <row r="495">
      <c r="A495" s="112" t="n"/>
      <c r="B495" s="4" t="n"/>
      <c r="C495" s="4" t="n"/>
      <c r="D495" s="7" t="n"/>
      <c r="E495" s="7" t="n"/>
      <c r="F495" s="8">
        <f>IF(ISBLANK(B495),"",IF(I495="L","Baixa",IF(I495="A","Média",IF(I495="","","Alta"))))</f>
        <v/>
      </c>
      <c r="G495" s="7">
        <f>CONCATENATE(B495,I495)</f>
        <v/>
      </c>
      <c r="H495" s="5">
        <f>IF(ISBLANK(B495),"",IF(B495="ALI",IF(I495="L",7,IF(I495="A",10,15)),IF(B495="AIE",IF(I495="L",5,IF(I495="A",7,10)),IF(B495="SE",IF(I495="L",4,IF(I495="A",5,7)),IF(OR(B495="EE",B495="CE"),IF(I495="L",3,IF(I495="A",4,6)),0)))))</f>
        <v/>
      </c>
      <c r="I495" s="110">
        <f>IF(OR(ISBLANK(D495),ISBLANK(E495)),IF(OR(B495="ALI",B495="AIE"),"L",IF(OR(B495="EE",B495="SE",B495="CE"),"A","")),IF(B495="EE",IF(E495&gt;=3,IF(D495&gt;=5,"H","A"),IF(E495&gt;=2,IF(D495&gt;=16,"H",IF(D495&lt;=4,"L","A")),IF(D495&lt;=15,"L","A"))),IF(OR(B495="SE",B495="CE"),IF(E495&gt;=4,IF(D495&gt;=6,"H","A"),IF(E495&gt;=2,IF(D495&gt;=20,"H",IF(D495&lt;=5,"L","A")),IF(D495&lt;=19,"L","A"))),IF(OR(B495="ALI",B495="AIE"),IF(E495&gt;=6,IF(D495&gt;=20,"H","A"),IF(E495&gt;=2,IF(D495&gt;=51,"H",IF(D495&lt;=19,"L","A")),IF(D495&lt;=50,"L","A"))),""))))</f>
        <v/>
      </c>
      <c r="J495" s="7">
        <f>CONCATENATE(B495,C495)</f>
        <v/>
      </c>
      <c r="K495" s="9">
        <f>IF(OR(H495="",H495=0),L495,H495)</f>
        <v/>
      </c>
      <c r="L495" s="9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 t="n"/>
      <c r="N495" s="115" t="n"/>
      <c r="O495" s="6" t="n"/>
    </row>
    <row r="496">
      <c r="A496" s="112" t="n"/>
      <c r="B496" s="4" t="n"/>
      <c r="C496" s="4" t="n"/>
      <c r="D496" s="7" t="n"/>
      <c r="E496" s="7" t="n"/>
      <c r="F496" s="8">
        <f>IF(ISBLANK(B496),"",IF(I496="L","Baixa",IF(I496="A","Média",IF(I496="","","Alta"))))</f>
        <v/>
      </c>
      <c r="G496" s="7">
        <f>CONCATENATE(B496,I496)</f>
        <v/>
      </c>
      <c r="H496" s="5">
        <f>IF(ISBLANK(B496),"",IF(B496="ALI",IF(I496="L",7,IF(I496="A",10,15)),IF(B496="AIE",IF(I496="L",5,IF(I496="A",7,10)),IF(B496="SE",IF(I496="L",4,IF(I496="A",5,7)),IF(OR(B496="EE",B496="CE"),IF(I496="L",3,IF(I496="A",4,6)),0)))))</f>
        <v/>
      </c>
      <c r="I496" s="110">
        <f>IF(OR(ISBLANK(D496),ISBLANK(E496)),IF(OR(B496="ALI",B496="AIE"),"L",IF(OR(B496="EE",B496="SE",B496="CE"),"A","")),IF(B496="EE",IF(E496&gt;=3,IF(D496&gt;=5,"H","A"),IF(E496&gt;=2,IF(D496&gt;=16,"H",IF(D496&lt;=4,"L","A")),IF(D496&lt;=15,"L","A"))),IF(OR(B496="SE",B496="CE"),IF(E496&gt;=4,IF(D496&gt;=6,"H","A"),IF(E496&gt;=2,IF(D496&gt;=20,"H",IF(D496&lt;=5,"L","A")),IF(D496&lt;=19,"L","A"))),IF(OR(B496="ALI",B496="AIE"),IF(E496&gt;=6,IF(D496&gt;=20,"H","A"),IF(E496&gt;=2,IF(D496&gt;=51,"H",IF(D496&lt;=19,"L","A")),IF(D496&lt;=50,"L","A"))),""))))</f>
        <v/>
      </c>
      <c r="J496" s="7">
        <f>CONCATENATE(B496,C496)</f>
        <v/>
      </c>
      <c r="K496" s="9">
        <f>IF(OR(H496="",H496=0),L496,H496)</f>
        <v/>
      </c>
      <c r="L496" s="9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 t="n"/>
      <c r="N496" s="115" t="n"/>
      <c r="O496" s="6" t="n"/>
    </row>
    <row r="497">
      <c r="A497" s="112" t="n"/>
      <c r="B497" s="4" t="n"/>
      <c r="C497" s="4" t="n"/>
      <c r="D497" s="7" t="n"/>
      <c r="E497" s="7" t="n"/>
      <c r="F497" s="8">
        <f>IF(ISBLANK(B497),"",IF(I497="L","Baixa",IF(I497="A","Média",IF(I497="","","Alta"))))</f>
        <v/>
      </c>
      <c r="G497" s="7">
        <f>CONCATENATE(B497,I497)</f>
        <v/>
      </c>
      <c r="H497" s="5">
        <f>IF(ISBLANK(B497),"",IF(B497="ALI",IF(I497="L",7,IF(I497="A",10,15)),IF(B497="AIE",IF(I497="L",5,IF(I497="A",7,10)),IF(B497="SE",IF(I497="L",4,IF(I497="A",5,7)),IF(OR(B497="EE",B497="CE"),IF(I497="L",3,IF(I497="A",4,6)),0)))))</f>
        <v/>
      </c>
      <c r="I497" s="110">
        <f>IF(OR(ISBLANK(D497),ISBLANK(E497)),IF(OR(B497="ALI",B497="AIE"),"L",IF(OR(B497="EE",B497="SE",B497="CE"),"A","")),IF(B497="EE",IF(E497&gt;=3,IF(D497&gt;=5,"H","A"),IF(E497&gt;=2,IF(D497&gt;=16,"H",IF(D497&lt;=4,"L","A")),IF(D497&lt;=15,"L","A"))),IF(OR(B497="SE",B497="CE"),IF(E497&gt;=4,IF(D497&gt;=6,"H","A"),IF(E497&gt;=2,IF(D497&gt;=20,"H",IF(D497&lt;=5,"L","A")),IF(D497&lt;=19,"L","A"))),IF(OR(B497="ALI",B497="AIE"),IF(E497&gt;=6,IF(D497&gt;=20,"H","A"),IF(E497&gt;=2,IF(D497&gt;=51,"H",IF(D497&lt;=19,"L","A")),IF(D497&lt;=50,"L","A"))),""))))</f>
        <v/>
      </c>
      <c r="J497" s="7">
        <f>CONCATENATE(B497,C497)</f>
        <v/>
      </c>
      <c r="K497" s="9">
        <f>IF(OR(H497="",H497=0),L497,H497)</f>
        <v/>
      </c>
      <c r="L497" s="9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 t="n"/>
      <c r="N497" s="115" t="n"/>
      <c r="O497" s="6" t="n"/>
    </row>
    <row r="498">
      <c r="A498" s="112" t="n"/>
      <c r="B498" s="4" t="n"/>
      <c r="C498" s="4" t="n"/>
      <c r="D498" s="7" t="n"/>
      <c r="E498" s="7" t="n"/>
      <c r="F498" s="8">
        <f>IF(ISBLANK(B498),"",IF(I498="L","Baixa",IF(I498="A","Média",IF(I498="","","Alta"))))</f>
        <v/>
      </c>
      <c r="G498" s="7">
        <f>CONCATENATE(B498,I498)</f>
        <v/>
      </c>
      <c r="H498" s="5">
        <f>IF(ISBLANK(B498),"",IF(B498="ALI",IF(I498="L",7,IF(I498="A",10,15)),IF(B498="AIE",IF(I498="L",5,IF(I498="A",7,10)),IF(B498="SE",IF(I498="L",4,IF(I498="A",5,7)),IF(OR(B498="EE",B498="CE"),IF(I498="L",3,IF(I498="A",4,6)),0)))))</f>
        <v/>
      </c>
      <c r="I498" s="110">
        <f>IF(OR(ISBLANK(D498),ISBLANK(E498)),IF(OR(B498="ALI",B498="AIE"),"L",IF(OR(B498="EE",B498="SE",B498="CE"),"A","")),IF(B498="EE",IF(E498&gt;=3,IF(D498&gt;=5,"H","A"),IF(E498&gt;=2,IF(D498&gt;=16,"H",IF(D498&lt;=4,"L","A")),IF(D498&lt;=15,"L","A"))),IF(OR(B498="SE",B498="CE"),IF(E498&gt;=4,IF(D498&gt;=6,"H","A"),IF(E498&gt;=2,IF(D498&gt;=20,"H",IF(D498&lt;=5,"L","A")),IF(D498&lt;=19,"L","A"))),IF(OR(B498="ALI",B498="AIE"),IF(E498&gt;=6,IF(D498&gt;=20,"H","A"),IF(E498&gt;=2,IF(D498&gt;=51,"H",IF(D498&lt;=19,"L","A")),IF(D498&lt;=50,"L","A"))),""))))</f>
        <v/>
      </c>
      <c r="J498" s="7">
        <f>CONCATENATE(B498,C498)</f>
        <v/>
      </c>
      <c r="K498" s="9">
        <f>IF(OR(H498="",H498=0),L498,H498)</f>
        <v/>
      </c>
      <c r="L498" s="9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 t="n"/>
      <c r="N498" s="115" t="n"/>
      <c r="O498" s="6" t="n"/>
    </row>
    <row r="499">
      <c r="A499" s="112" t="n"/>
      <c r="B499" s="4" t="n"/>
      <c r="C499" s="4" t="n"/>
      <c r="D499" s="7" t="n"/>
      <c r="E499" s="7" t="n"/>
      <c r="F499" s="8">
        <f>IF(ISBLANK(B499),"",IF(I499="L","Baixa",IF(I499="A","Média",IF(I499="","","Alta"))))</f>
        <v/>
      </c>
      <c r="G499" s="7">
        <f>CONCATENATE(B499,I499)</f>
        <v/>
      </c>
      <c r="H499" s="5">
        <f>IF(ISBLANK(B499),"",IF(B499="ALI",IF(I499="L",7,IF(I499="A",10,15)),IF(B499="AIE",IF(I499="L",5,IF(I499="A",7,10)),IF(B499="SE",IF(I499="L",4,IF(I499="A",5,7)),IF(OR(B499="EE",B499="CE"),IF(I499="L",3,IF(I499="A",4,6)),0)))))</f>
        <v/>
      </c>
      <c r="I499" s="110">
        <f>IF(OR(ISBLANK(D499),ISBLANK(E499)),IF(OR(B499="ALI",B499="AIE"),"L",IF(OR(B499="EE",B499="SE",B499="CE"),"A","")),IF(B499="EE",IF(E499&gt;=3,IF(D499&gt;=5,"H","A"),IF(E499&gt;=2,IF(D499&gt;=16,"H",IF(D499&lt;=4,"L","A")),IF(D499&lt;=15,"L","A"))),IF(OR(B499="SE",B499="CE"),IF(E499&gt;=4,IF(D499&gt;=6,"H","A"),IF(E499&gt;=2,IF(D499&gt;=20,"H",IF(D499&lt;=5,"L","A")),IF(D499&lt;=19,"L","A"))),IF(OR(B499="ALI",B499="AIE"),IF(E499&gt;=6,IF(D499&gt;=20,"H","A"),IF(E499&gt;=2,IF(D499&gt;=51,"H",IF(D499&lt;=19,"L","A")),IF(D499&lt;=50,"L","A"))),""))))</f>
        <v/>
      </c>
      <c r="J499" s="7">
        <f>CONCATENATE(B499,C499)</f>
        <v/>
      </c>
      <c r="K499" s="9">
        <f>IF(OR(H499="",H499=0),L499,H499)</f>
        <v/>
      </c>
      <c r="L499" s="9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 t="n"/>
      <c r="N499" s="115" t="n"/>
      <c r="O499" s="6" t="n"/>
    </row>
    <row r="500">
      <c r="A500" s="112" t="n"/>
      <c r="B500" s="4" t="n"/>
      <c r="C500" s="4" t="n"/>
      <c r="D500" s="7" t="n"/>
      <c r="E500" s="7" t="n"/>
      <c r="F500" s="8">
        <f>IF(ISBLANK(B500),"",IF(I500="L","Baixa",IF(I500="A","Média",IF(I500="","","Alta"))))</f>
        <v/>
      </c>
      <c r="G500" s="7">
        <f>CONCATENATE(B500,I500)</f>
        <v/>
      </c>
      <c r="H500" s="5">
        <f>IF(ISBLANK(B500),"",IF(B500="ALI",IF(I500="L",7,IF(I500="A",10,15)),IF(B500="AIE",IF(I500="L",5,IF(I500="A",7,10)),IF(B500="SE",IF(I500="L",4,IF(I500="A",5,7)),IF(OR(B500="EE",B500="CE"),IF(I500="L",3,IF(I500="A",4,6)),0)))))</f>
        <v/>
      </c>
      <c r="I500" s="110">
        <f>IF(OR(ISBLANK(D500),ISBLANK(E500)),IF(OR(B500="ALI",B500="AIE"),"L",IF(OR(B500="EE",B500="SE",B500="CE"),"A","")),IF(B500="EE",IF(E500&gt;=3,IF(D500&gt;=5,"H","A"),IF(E500&gt;=2,IF(D500&gt;=16,"H",IF(D500&lt;=4,"L","A")),IF(D500&lt;=15,"L","A"))),IF(OR(B500="SE",B500="CE"),IF(E500&gt;=4,IF(D500&gt;=6,"H","A"),IF(E500&gt;=2,IF(D500&gt;=20,"H",IF(D500&lt;=5,"L","A")),IF(D500&lt;=19,"L","A"))),IF(OR(B500="ALI",B500="AIE"),IF(E500&gt;=6,IF(D500&gt;=20,"H","A"),IF(E500&gt;=2,IF(D500&gt;=51,"H",IF(D500&lt;=19,"L","A")),IF(D500&lt;=50,"L","A"))),""))))</f>
        <v/>
      </c>
      <c r="J500" s="7">
        <f>CONCATENATE(B500,C500)</f>
        <v/>
      </c>
      <c r="K500" s="9">
        <f>IF(OR(H500="",H500=0),L500,H500)</f>
        <v/>
      </c>
      <c r="L500" s="9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 t="n"/>
      <c r="N500" s="115" t="n"/>
      <c r="O500" s="6" t="n"/>
    </row>
    <row r="501">
      <c r="A501" s="112" t="n"/>
      <c r="B501" s="4" t="n"/>
      <c r="C501" s="4" t="n"/>
      <c r="D501" s="7" t="n"/>
      <c r="E501" s="7" t="n"/>
      <c r="F501" s="8">
        <f>IF(ISBLANK(B501),"",IF(I501="L","Baixa",IF(I501="A","Média",IF(I501="","","Alta"))))</f>
        <v/>
      </c>
      <c r="G501" s="7">
        <f>CONCATENATE(B501,I501)</f>
        <v/>
      </c>
      <c r="H501" s="5">
        <f>IF(ISBLANK(B501),"",IF(B501="ALI",IF(I501="L",7,IF(I501="A",10,15)),IF(B501="AIE",IF(I501="L",5,IF(I501="A",7,10)),IF(B501="SE",IF(I501="L",4,IF(I501="A",5,7)),IF(OR(B501="EE",B501="CE"),IF(I501="L",3,IF(I501="A",4,6)),0)))))</f>
        <v/>
      </c>
      <c r="I501" s="110">
        <f>IF(OR(ISBLANK(D501),ISBLANK(E501)),IF(OR(B501="ALI",B501="AIE"),"L",IF(OR(B501="EE",B501="SE",B501="CE"),"A","")),IF(B501="EE",IF(E501&gt;=3,IF(D501&gt;=5,"H","A"),IF(E501&gt;=2,IF(D501&gt;=16,"H",IF(D501&lt;=4,"L","A")),IF(D501&lt;=15,"L","A"))),IF(OR(B501="SE",B501="CE"),IF(E501&gt;=4,IF(D501&gt;=6,"H","A"),IF(E501&gt;=2,IF(D501&gt;=20,"H",IF(D501&lt;=5,"L","A")),IF(D501&lt;=19,"L","A"))),IF(OR(B501="ALI",B501="AIE"),IF(E501&gt;=6,IF(D501&gt;=20,"H","A"),IF(E501&gt;=2,IF(D501&gt;=51,"H",IF(D501&lt;=19,"L","A")),IF(D501&lt;=50,"L","A"))),""))))</f>
        <v/>
      </c>
      <c r="J501" s="7">
        <f>CONCATENATE(B501,C501)</f>
        <v/>
      </c>
      <c r="K501" s="9">
        <f>IF(OR(H501="",H501=0),L501,H501)</f>
        <v/>
      </c>
      <c r="L501" s="9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 t="n"/>
      <c r="N501" s="115" t="n"/>
      <c r="O501" s="6" t="n"/>
    </row>
    <row r="502">
      <c r="A502" s="112" t="n"/>
      <c r="B502" s="4" t="n"/>
      <c r="C502" s="4" t="n"/>
      <c r="D502" s="7" t="n"/>
      <c r="E502" s="7" t="n"/>
      <c r="F502" s="8">
        <f>IF(ISBLANK(B502),"",IF(I502="L","Baixa",IF(I502="A","Média",IF(I502="","","Alta"))))</f>
        <v/>
      </c>
      <c r="G502" s="7">
        <f>CONCATENATE(B502,I502)</f>
        <v/>
      </c>
      <c r="H502" s="5">
        <f>IF(ISBLANK(B502),"",IF(B502="ALI",IF(I502="L",7,IF(I502="A",10,15)),IF(B502="AIE",IF(I502="L",5,IF(I502="A",7,10)),IF(B502="SE",IF(I502="L",4,IF(I502="A",5,7)),IF(OR(B502="EE",B502="CE"),IF(I502="L",3,IF(I502="A",4,6)),0)))))</f>
        <v/>
      </c>
      <c r="I502" s="110">
        <f>IF(OR(ISBLANK(D502),ISBLANK(E502)),IF(OR(B502="ALI",B502="AIE"),"L",IF(OR(B502="EE",B502="SE",B502="CE"),"A","")),IF(B502="EE",IF(E502&gt;=3,IF(D502&gt;=5,"H","A"),IF(E502&gt;=2,IF(D502&gt;=16,"H",IF(D502&lt;=4,"L","A")),IF(D502&lt;=15,"L","A"))),IF(OR(B502="SE",B502="CE"),IF(E502&gt;=4,IF(D502&gt;=6,"H","A"),IF(E502&gt;=2,IF(D502&gt;=20,"H",IF(D502&lt;=5,"L","A")),IF(D502&lt;=19,"L","A"))),IF(OR(B502="ALI",B502="AIE"),IF(E502&gt;=6,IF(D502&gt;=20,"H","A"),IF(E502&gt;=2,IF(D502&gt;=51,"H",IF(D502&lt;=19,"L","A")),IF(D502&lt;=50,"L","A"))),""))))</f>
        <v/>
      </c>
      <c r="J502" s="7">
        <f>CONCATENATE(B502,C502)</f>
        <v/>
      </c>
      <c r="K502" s="9">
        <f>IF(OR(H502="",H502=0),L502,H502)</f>
        <v/>
      </c>
      <c r="L502" s="9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 t="n"/>
      <c r="N502" s="115" t="n"/>
      <c r="O502" s="6" t="n"/>
    </row>
    <row r="503">
      <c r="A503" s="112" t="n"/>
      <c r="B503" s="4" t="n"/>
      <c r="C503" s="4" t="n"/>
      <c r="D503" s="7" t="n"/>
      <c r="E503" s="7" t="n"/>
      <c r="F503" s="8">
        <f>IF(ISBLANK(B503),"",IF(I503="L","Baixa",IF(I503="A","Média",IF(I503="","","Alta"))))</f>
        <v/>
      </c>
      <c r="G503" s="7">
        <f>CONCATENATE(B503,I503)</f>
        <v/>
      </c>
      <c r="H503" s="5">
        <f>IF(ISBLANK(B503),"",IF(B503="ALI",IF(I503="L",7,IF(I503="A",10,15)),IF(B503="AIE",IF(I503="L",5,IF(I503="A",7,10)),IF(B503="SE",IF(I503="L",4,IF(I503="A",5,7)),IF(OR(B503="EE",B503="CE"),IF(I503="L",3,IF(I503="A",4,6)),0)))))</f>
        <v/>
      </c>
      <c r="I503" s="110">
        <f>IF(OR(ISBLANK(D503),ISBLANK(E503)),IF(OR(B503="ALI",B503="AIE"),"L",IF(OR(B503="EE",B503="SE",B503="CE"),"A","")),IF(B503="EE",IF(E503&gt;=3,IF(D503&gt;=5,"H","A"),IF(E503&gt;=2,IF(D503&gt;=16,"H",IF(D503&lt;=4,"L","A")),IF(D503&lt;=15,"L","A"))),IF(OR(B503="SE",B503="CE"),IF(E503&gt;=4,IF(D503&gt;=6,"H","A"),IF(E503&gt;=2,IF(D503&gt;=20,"H",IF(D503&lt;=5,"L","A")),IF(D503&lt;=19,"L","A"))),IF(OR(B503="ALI",B503="AIE"),IF(E503&gt;=6,IF(D503&gt;=20,"H","A"),IF(E503&gt;=2,IF(D503&gt;=51,"H",IF(D503&lt;=19,"L","A")),IF(D503&lt;=50,"L","A"))),""))))</f>
        <v/>
      </c>
      <c r="J503" s="7">
        <f>CONCATENATE(B503,C503)</f>
        <v/>
      </c>
      <c r="K503" s="9">
        <f>IF(OR(H503="",H503=0),L503,H503)</f>
        <v/>
      </c>
      <c r="L503" s="9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 t="n"/>
      <c r="N503" s="115" t="n"/>
      <c r="O503" s="6" t="n"/>
    </row>
    <row r="504">
      <c r="A504" s="112" t="n"/>
      <c r="B504" s="4" t="n"/>
      <c r="C504" s="4" t="n"/>
      <c r="D504" s="7" t="n"/>
      <c r="E504" s="7" t="n"/>
      <c r="F504" s="8">
        <f>IF(ISBLANK(B504),"",IF(I504="L","Baixa",IF(I504="A","Média",IF(I504="","","Alta"))))</f>
        <v/>
      </c>
      <c r="G504" s="7">
        <f>CONCATENATE(B504,I504)</f>
        <v/>
      </c>
      <c r="H504" s="5">
        <f>IF(ISBLANK(B504),"",IF(B504="ALI",IF(I504="L",7,IF(I504="A",10,15)),IF(B504="AIE",IF(I504="L",5,IF(I504="A",7,10)),IF(B504="SE",IF(I504="L",4,IF(I504="A",5,7)),IF(OR(B504="EE",B504="CE"),IF(I504="L",3,IF(I504="A",4,6)),0)))))</f>
        <v/>
      </c>
      <c r="I504" s="110">
        <f>IF(OR(ISBLANK(D504),ISBLANK(E504)),IF(OR(B504="ALI",B504="AIE"),"L",IF(OR(B504="EE",B504="SE",B504="CE"),"A","")),IF(B504="EE",IF(E504&gt;=3,IF(D504&gt;=5,"H","A"),IF(E504&gt;=2,IF(D504&gt;=16,"H",IF(D504&lt;=4,"L","A")),IF(D504&lt;=15,"L","A"))),IF(OR(B504="SE",B504="CE"),IF(E504&gt;=4,IF(D504&gt;=6,"H","A"),IF(E504&gt;=2,IF(D504&gt;=20,"H",IF(D504&lt;=5,"L","A")),IF(D504&lt;=19,"L","A"))),IF(OR(B504="ALI",B504="AIE"),IF(E504&gt;=6,IF(D504&gt;=20,"H","A"),IF(E504&gt;=2,IF(D504&gt;=51,"H",IF(D504&lt;=19,"L","A")),IF(D504&lt;=50,"L","A"))),""))))</f>
        <v/>
      </c>
      <c r="J504" s="7">
        <f>CONCATENATE(B504,C504)</f>
        <v/>
      </c>
      <c r="K504" s="9">
        <f>IF(OR(H504="",H504=0),L504,H504)</f>
        <v/>
      </c>
      <c r="L504" s="9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 t="n"/>
      <c r="N504" s="115" t="n"/>
      <c r="O504" s="6" t="n"/>
    </row>
    <row r="505">
      <c r="A505" s="112" t="n"/>
      <c r="B505" s="4" t="n"/>
      <c r="C505" s="4" t="n"/>
      <c r="D505" s="7" t="n"/>
      <c r="E505" s="7" t="n"/>
      <c r="F505" s="8">
        <f>IF(ISBLANK(B505),"",IF(I505="L","Baixa",IF(I505="A","Média",IF(I505="","","Alta"))))</f>
        <v/>
      </c>
      <c r="G505" s="7">
        <f>CONCATENATE(B505,I505)</f>
        <v/>
      </c>
      <c r="H505" s="5">
        <f>IF(ISBLANK(B505),"",IF(B505="ALI",IF(I505="L",7,IF(I505="A",10,15)),IF(B505="AIE",IF(I505="L",5,IF(I505="A",7,10)),IF(B505="SE",IF(I505="L",4,IF(I505="A",5,7)),IF(OR(B505="EE",B505="CE"),IF(I505="L",3,IF(I505="A",4,6)),0)))))</f>
        <v/>
      </c>
      <c r="I505" s="110">
        <f>IF(OR(ISBLANK(D505),ISBLANK(E505)),IF(OR(B505="ALI",B505="AIE"),"L",IF(OR(B505="EE",B505="SE",B505="CE"),"A","")),IF(B505="EE",IF(E505&gt;=3,IF(D505&gt;=5,"H","A"),IF(E505&gt;=2,IF(D505&gt;=16,"H",IF(D505&lt;=4,"L","A")),IF(D505&lt;=15,"L","A"))),IF(OR(B505="SE",B505="CE"),IF(E505&gt;=4,IF(D505&gt;=6,"H","A"),IF(E505&gt;=2,IF(D505&gt;=20,"H",IF(D505&lt;=5,"L","A")),IF(D505&lt;=19,"L","A"))),IF(OR(B505="ALI",B505="AIE"),IF(E505&gt;=6,IF(D505&gt;=20,"H","A"),IF(E505&gt;=2,IF(D505&gt;=51,"H",IF(D505&lt;=19,"L","A")),IF(D505&lt;=50,"L","A"))),""))))</f>
        <v/>
      </c>
      <c r="J505" s="7">
        <f>CONCATENATE(B505,C505)</f>
        <v/>
      </c>
      <c r="K505" s="9">
        <f>IF(OR(H505="",H505=0),L505,H505)</f>
        <v/>
      </c>
      <c r="L505" s="9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 t="n"/>
      <c r="N505" s="115" t="n"/>
      <c r="O505" s="6" t="n"/>
    </row>
    <row r="506">
      <c r="A506" s="112" t="n"/>
      <c r="B506" s="4" t="n"/>
      <c r="C506" s="4" t="n"/>
      <c r="D506" s="7" t="n"/>
      <c r="E506" s="7" t="n"/>
      <c r="F506" s="8">
        <f>IF(ISBLANK(B506),"",IF(I506="L","Baixa",IF(I506="A","Média",IF(I506="","","Alta"))))</f>
        <v/>
      </c>
      <c r="G506" s="7">
        <f>CONCATENATE(B506,I506)</f>
        <v/>
      </c>
      <c r="H506" s="5">
        <f>IF(ISBLANK(B506),"",IF(B506="ALI",IF(I506="L",7,IF(I506="A",10,15)),IF(B506="AIE",IF(I506="L",5,IF(I506="A",7,10)),IF(B506="SE",IF(I506="L",4,IF(I506="A",5,7)),IF(OR(B506="EE",B506="CE"),IF(I506="L",3,IF(I506="A",4,6)),0)))))</f>
        <v/>
      </c>
      <c r="I506" s="110">
        <f>IF(OR(ISBLANK(D506),ISBLANK(E506)),IF(OR(B506="ALI",B506="AIE"),"L",IF(OR(B506="EE",B506="SE",B506="CE"),"A","")),IF(B506="EE",IF(E506&gt;=3,IF(D506&gt;=5,"H","A"),IF(E506&gt;=2,IF(D506&gt;=16,"H",IF(D506&lt;=4,"L","A")),IF(D506&lt;=15,"L","A"))),IF(OR(B506="SE",B506="CE"),IF(E506&gt;=4,IF(D506&gt;=6,"H","A"),IF(E506&gt;=2,IF(D506&gt;=20,"H",IF(D506&lt;=5,"L","A")),IF(D506&lt;=19,"L","A"))),IF(OR(B506="ALI",B506="AIE"),IF(E506&gt;=6,IF(D506&gt;=20,"H","A"),IF(E506&gt;=2,IF(D506&gt;=51,"H",IF(D506&lt;=19,"L","A")),IF(D506&lt;=50,"L","A"))),""))))</f>
        <v/>
      </c>
      <c r="J506" s="7">
        <f>CONCATENATE(B506,C506)</f>
        <v/>
      </c>
      <c r="K506" s="9">
        <f>IF(OR(H506="",H506=0),L506,H506)</f>
        <v/>
      </c>
      <c r="L506" s="9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 t="n"/>
      <c r="N506" s="115" t="n"/>
      <c r="O506" s="6" t="n"/>
    </row>
    <row r="507">
      <c r="A507" s="112" t="n"/>
      <c r="B507" s="4" t="n"/>
      <c r="C507" s="4" t="n"/>
      <c r="D507" s="7" t="n"/>
      <c r="E507" s="7" t="n"/>
      <c r="F507" s="8">
        <f>IF(ISBLANK(B507),"",IF(I507="L","Baixa",IF(I507="A","Média",IF(I507="","","Alta"))))</f>
        <v/>
      </c>
      <c r="G507" s="7">
        <f>CONCATENATE(B507,I507)</f>
        <v/>
      </c>
      <c r="H507" s="5">
        <f>IF(ISBLANK(B507),"",IF(B507="ALI",IF(I507="L",7,IF(I507="A",10,15)),IF(B507="AIE",IF(I507="L",5,IF(I507="A",7,10)),IF(B507="SE",IF(I507="L",4,IF(I507="A",5,7)),IF(OR(B507="EE",B507="CE"),IF(I507="L",3,IF(I507="A",4,6)),0)))))</f>
        <v/>
      </c>
      <c r="I507" s="110">
        <f>IF(OR(ISBLANK(D507),ISBLANK(E507)),IF(OR(B507="ALI",B507="AIE"),"L",IF(OR(B507="EE",B507="SE",B507="CE"),"A","")),IF(B507="EE",IF(E507&gt;=3,IF(D507&gt;=5,"H","A"),IF(E507&gt;=2,IF(D507&gt;=16,"H",IF(D507&lt;=4,"L","A")),IF(D507&lt;=15,"L","A"))),IF(OR(B507="SE",B507="CE"),IF(E507&gt;=4,IF(D507&gt;=6,"H","A"),IF(E507&gt;=2,IF(D507&gt;=20,"H",IF(D507&lt;=5,"L","A")),IF(D507&lt;=19,"L","A"))),IF(OR(B507="ALI",B507="AIE"),IF(E507&gt;=6,IF(D507&gt;=20,"H","A"),IF(E507&gt;=2,IF(D507&gt;=51,"H",IF(D507&lt;=19,"L","A")),IF(D507&lt;=50,"L","A"))),""))))</f>
        <v/>
      </c>
      <c r="J507" s="7">
        <f>CONCATENATE(B507,C507)</f>
        <v/>
      </c>
      <c r="K507" s="9">
        <f>IF(OR(H507="",H507=0),L507,H507)</f>
        <v/>
      </c>
      <c r="L507" s="9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 t="n"/>
      <c r="N507" s="115" t="n"/>
      <c r="O507" s="6" t="n"/>
    </row>
    <row r="508">
      <c r="A508" s="112" t="n"/>
      <c r="B508" s="4" t="n"/>
      <c r="C508" s="4" t="n"/>
      <c r="D508" s="7" t="n"/>
      <c r="E508" s="7" t="n"/>
      <c r="F508" s="8">
        <f>IF(ISBLANK(B508),"",IF(I508="L","Baixa",IF(I508="A","Média",IF(I508="","","Alta"))))</f>
        <v/>
      </c>
      <c r="G508" s="7">
        <f>CONCATENATE(B508,I508)</f>
        <v/>
      </c>
      <c r="H508" s="5">
        <f>IF(ISBLANK(B508),"",IF(B508="ALI",IF(I508="L",7,IF(I508="A",10,15)),IF(B508="AIE",IF(I508="L",5,IF(I508="A",7,10)),IF(B508="SE",IF(I508="L",4,IF(I508="A",5,7)),IF(OR(B508="EE",B508="CE"),IF(I508="L",3,IF(I508="A",4,6)),0)))))</f>
        <v/>
      </c>
      <c r="I508" s="110">
        <f>IF(OR(ISBLANK(D508),ISBLANK(E508)),IF(OR(B508="ALI",B508="AIE"),"L",IF(OR(B508="EE",B508="SE",B508="CE"),"A","")),IF(B508="EE",IF(E508&gt;=3,IF(D508&gt;=5,"H","A"),IF(E508&gt;=2,IF(D508&gt;=16,"H",IF(D508&lt;=4,"L","A")),IF(D508&lt;=15,"L","A"))),IF(OR(B508="SE",B508="CE"),IF(E508&gt;=4,IF(D508&gt;=6,"H","A"),IF(E508&gt;=2,IF(D508&gt;=20,"H",IF(D508&lt;=5,"L","A")),IF(D508&lt;=19,"L","A"))),IF(OR(B508="ALI",B508="AIE"),IF(E508&gt;=6,IF(D508&gt;=20,"H","A"),IF(E508&gt;=2,IF(D508&gt;=51,"H",IF(D508&lt;=19,"L","A")),IF(D508&lt;=50,"L","A"))),""))))</f>
        <v/>
      </c>
      <c r="J508" s="7">
        <f>CONCATENATE(B508,C508)</f>
        <v/>
      </c>
      <c r="K508" s="9">
        <f>IF(OR(H508="",H508=0),L508,H508)</f>
        <v/>
      </c>
      <c r="L508" s="9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 t="n"/>
      <c r="N508" s="115" t="n"/>
      <c r="O508" s="6" t="n"/>
    </row>
    <row r="509">
      <c r="A509" s="112" t="n"/>
      <c r="B509" s="4" t="n"/>
      <c r="C509" s="4" t="n"/>
      <c r="D509" s="7" t="n"/>
      <c r="E509" s="7" t="n"/>
      <c r="F509" s="8">
        <f>IF(ISBLANK(B509),"",IF(I509="L","Baixa",IF(I509="A","Média",IF(I509="","","Alta"))))</f>
        <v/>
      </c>
      <c r="G509" s="7">
        <f>CONCATENATE(B509,I509)</f>
        <v/>
      </c>
      <c r="H509" s="5">
        <f>IF(ISBLANK(B509),"",IF(B509="ALI",IF(I509="L",7,IF(I509="A",10,15)),IF(B509="AIE",IF(I509="L",5,IF(I509="A",7,10)),IF(B509="SE",IF(I509="L",4,IF(I509="A",5,7)),IF(OR(B509="EE",B509="CE"),IF(I509="L",3,IF(I509="A",4,6)),0)))))</f>
        <v/>
      </c>
      <c r="I509" s="110">
        <f>IF(OR(ISBLANK(D509),ISBLANK(E509)),IF(OR(B509="ALI",B509="AIE"),"L",IF(OR(B509="EE",B509="SE",B509="CE"),"A","")),IF(B509="EE",IF(E509&gt;=3,IF(D509&gt;=5,"H","A"),IF(E509&gt;=2,IF(D509&gt;=16,"H",IF(D509&lt;=4,"L","A")),IF(D509&lt;=15,"L","A"))),IF(OR(B509="SE",B509="CE"),IF(E509&gt;=4,IF(D509&gt;=6,"H","A"),IF(E509&gt;=2,IF(D509&gt;=20,"H",IF(D509&lt;=5,"L","A")),IF(D509&lt;=19,"L","A"))),IF(OR(B509="ALI",B509="AIE"),IF(E509&gt;=6,IF(D509&gt;=20,"H","A"),IF(E509&gt;=2,IF(D509&gt;=51,"H",IF(D509&lt;=19,"L","A")),IF(D509&lt;=50,"L","A"))),""))))</f>
        <v/>
      </c>
      <c r="J509" s="7">
        <f>CONCATENATE(B509,C509)</f>
        <v/>
      </c>
      <c r="K509" s="9">
        <f>IF(OR(H509="",H509=0),L509,H509)</f>
        <v/>
      </c>
      <c r="L509" s="9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 t="n"/>
      <c r="N509" s="115" t="n"/>
      <c r="O509" s="6" t="n"/>
    </row>
    <row r="510">
      <c r="A510" s="112" t="n"/>
      <c r="B510" s="4" t="n"/>
      <c r="C510" s="4" t="n"/>
      <c r="D510" s="7" t="n"/>
      <c r="E510" s="7" t="n"/>
      <c r="F510" s="8">
        <f>IF(ISBLANK(B510),"",IF(I510="L","Baixa",IF(I510="A","Média",IF(I510="","","Alta"))))</f>
        <v/>
      </c>
      <c r="G510" s="7">
        <f>CONCATENATE(B510,I510)</f>
        <v/>
      </c>
      <c r="H510" s="5">
        <f>IF(ISBLANK(B510),"",IF(B510="ALI",IF(I510="L",7,IF(I510="A",10,15)),IF(B510="AIE",IF(I510="L",5,IF(I510="A",7,10)),IF(B510="SE",IF(I510="L",4,IF(I510="A",5,7)),IF(OR(B510="EE",B510="CE"),IF(I510="L",3,IF(I510="A",4,6)),0)))))</f>
        <v/>
      </c>
      <c r="I510" s="110">
        <f>IF(OR(ISBLANK(D510),ISBLANK(E510)),IF(OR(B510="ALI",B510="AIE"),"L",IF(OR(B510="EE",B510="SE",B510="CE"),"A","")),IF(B510="EE",IF(E510&gt;=3,IF(D510&gt;=5,"H","A"),IF(E510&gt;=2,IF(D510&gt;=16,"H",IF(D510&lt;=4,"L","A")),IF(D510&lt;=15,"L","A"))),IF(OR(B510="SE",B510="CE"),IF(E510&gt;=4,IF(D510&gt;=6,"H","A"),IF(E510&gt;=2,IF(D510&gt;=20,"H",IF(D510&lt;=5,"L","A")),IF(D510&lt;=19,"L","A"))),IF(OR(B510="ALI",B510="AIE"),IF(E510&gt;=6,IF(D510&gt;=20,"H","A"),IF(E510&gt;=2,IF(D510&gt;=51,"H",IF(D510&lt;=19,"L","A")),IF(D510&lt;=50,"L","A"))),""))))</f>
        <v/>
      </c>
      <c r="J510" s="7">
        <f>CONCATENATE(B510,C510)</f>
        <v/>
      </c>
      <c r="K510" s="9">
        <f>IF(OR(H510="",H510=0),L510,H510)</f>
        <v/>
      </c>
      <c r="L510" s="9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 t="n"/>
      <c r="N510" s="115" t="n"/>
      <c r="O510" s="6" t="n"/>
    </row>
    <row r="511">
      <c r="A511" s="112" t="n"/>
      <c r="B511" s="4" t="n"/>
      <c r="C511" s="4" t="n"/>
      <c r="D511" s="7" t="n"/>
      <c r="E511" s="7" t="n"/>
      <c r="F511" s="8">
        <f>IF(ISBLANK(B511),"",IF(I511="L","Baixa",IF(I511="A","Média",IF(I511="","","Alta"))))</f>
        <v/>
      </c>
      <c r="G511" s="7">
        <f>CONCATENATE(B511,I511)</f>
        <v/>
      </c>
      <c r="H511" s="5">
        <f>IF(ISBLANK(B511),"",IF(B511="ALI",IF(I511="L",7,IF(I511="A",10,15)),IF(B511="AIE",IF(I511="L",5,IF(I511="A",7,10)),IF(B511="SE",IF(I511="L",4,IF(I511="A",5,7)),IF(OR(B511="EE",B511="CE"),IF(I511="L",3,IF(I511="A",4,6)),0)))))</f>
        <v/>
      </c>
      <c r="I511" s="110">
        <f>IF(OR(ISBLANK(D511),ISBLANK(E511)),IF(OR(B511="ALI",B511="AIE"),"L",IF(OR(B511="EE",B511="SE",B511="CE"),"A","")),IF(B511="EE",IF(E511&gt;=3,IF(D511&gt;=5,"H","A"),IF(E511&gt;=2,IF(D511&gt;=16,"H",IF(D511&lt;=4,"L","A")),IF(D511&lt;=15,"L","A"))),IF(OR(B511="SE",B511="CE"),IF(E511&gt;=4,IF(D511&gt;=6,"H","A"),IF(E511&gt;=2,IF(D511&gt;=20,"H",IF(D511&lt;=5,"L","A")),IF(D511&lt;=19,"L","A"))),IF(OR(B511="ALI",B511="AIE"),IF(E511&gt;=6,IF(D511&gt;=20,"H","A"),IF(E511&gt;=2,IF(D511&gt;=51,"H",IF(D511&lt;=19,"L","A")),IF(D511&lt;=50,"L","A"))),""))))</f>
        <v/>
      </c>
      <c r="J511" s="7">
        <f>CONCATENATE(B511,C511)</f>
        <v/>
      </c>
      <c r="K511" s="9">
        <f>IF(OR(H511="",H511=0),L511,H511)</f>
        <v/>
      </c>
      <c r="L511" s="9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 t="n"/>
      <c r="N511" s="115" t="n"/>
      <c r="O511" s="6" t="n"/>
    </row>
    <row r="512">
      <c r="A512" s="112" t="n"/>
      <c r="B512" s="4" t="n"/>
      <c r="C512" s="4" t="n"/>
      <c r="D512" s="7" t="n"/>
      <c r="E512" s="7" t="n"/>
      <c r="F512" s="8">
        <f>IF(ISBLANK(B512),"",IF(I512="L","Baixa",IF(I512="A","Média",IF(I512="","","Alta"))))</f>
        <v/>
      </c>
      <c r="G512" s="7">
        <f>CONCATENATE(B512,I512)</f>
        <v/>
      </c>
      <c r="H512" s="5">
        <f>IF(ISBLANK(B512),"",IF(B512="ALI",IF(I512="L",7,IF(I512="A",10,15)),IF(B512="AIE",IF(I512="L",5,IF(I512="A",7,10)),IF(B512="SE",IF(I512="L",4,IF(I512="A",5,7)),IF(OR(B512="EE",B512="CE"),IF(I512="L",3,IF(I512="A",4,6)),0)))))</f>
        <v/>
      </c>
      <c r="I512" s="110">
        <f>IF(OR(ISBLANK(D512),ISBLANK(E512)),IF(OR(B512="ALI",B512="AIE"),"L",IF(OR(B512="EE",B512="SE",B512="CE"),"A","")),IF(B512="EE",IF(E512&gt;=3,IF(D512&gt;=5,"H","A"),IF(E512&gt;=2,IF(D512&gt;=16,"H",IF(D512&lt;=4,"L","A")),IF(D512&lt;=15,"L","A"))),IF(OR(B512="SE",B512="CE"),IF(E512&gt;=4,IF(D512&gt;=6,"H","A"),IF(E512&gt;=2,IF(D512&gt;=20,"H",IF(D512&lt;=5,"L","A")),IF(D512&lt;=19,"L","A"))),IF(OR(B512="ALI",B512="AIE"),IF(E512&gt;=6,IF(D512&gt;=20,"H","A"),IF(E512&gt;=2,IF(D512&gt;=51,"H",IF(D512&lt;=19,"L","A")),IF(D512&lt;=50,"L","A"))),""))))</f>
        <v/>
      </c>
      <c r="J512" s="7">
        <f>CONCATENATE(B512,C512)</f>
        <v/>
      </c>
      <c r="K512" s="9">
        <f>IF(OR(H512="",H512=0),L512,H512)</f>
        <v/>
      </c>
      <c r="L512" s="9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 t="n"/>
      <c r="N512" s="115" t="n"/>
      <c r="O512" s="6" t="n"/>
    </row>
    <row r="513">
      <c r="A513" s="112" t="n"/>
      <c r="B513" s="4" t="n"/>
      <c r="C513" s="4" t="n"/>
      <c r="D513" s="7" t="n"/>
      <c r="E513" s="7" t="n"/>
      <c r="F513" s="8">
        <f>IF(ISBLANK(B513),"",IF(I513="L","Baixa",IF(I513="A","Média",IF(I513="","","Alta"))))</f>
        <v/>
      </c>
      <c r="G513" s="7">
        <f>CONCATENATE(B513,I513)</f>
        <v/>
      </c>
      <c r="H513" s="5">
        <f>IF(ISBLANK(B513),"",IF(B513="ALI",IF(I513="L",7,IF(I513="A",10,15)),IF(B513="AIE",IF(I513="L",5,IF(I513="A",7,10)),IF(B513="SE",IF(I513="L",4,IF(I513="A",5,7)),IF(OR(B513="EE",B513="CE"),IF(I513="L",3,IF(I513="A",4,6)),0)))))</f>
        <v/>
      </c>
      <c r="I513" s="110">
        <f>IF(OR(ISBLANK(D513),ISBLANK(E513)),IF(OR(B513="ALI",B513="AIE"),"L",IF(OR(B513="EE",B513="SE",B513="CE"),"A","")),IF(B513="EE",IF(E513&gt;=3,IF(D513&gt;=5,"H","A"),IF(E513&gt;=2,IF(D513&gt;=16,"H",IF(D513&lt;=4,"L","A")),IF(D513&lt;=15,"L","A"))),IF(OR(B513="SE",B513="CE"),IF(E513&gt;=4,IF(D513&gt;=6,"H","A"),IF(E513&gt;=2,IF(D513&gt;=20,"H",IF(D513&lt;=5,"L","A")),IF(D513&lt;=19,"L","A"))),IF(OR(B513="ALI",B513="AIE"),IF(E513&gt;=6,IF(D513&gt;=20,"H","A"),IF(E513&gt;=2,IF(D513&gt;=51,"H",IF(D513&lt;=19,"L","A")),IF(D513&lt;=50,"L","A"))),""))))</f>
        <v/>
      </c>
      <c r="J513" s="7">
        <f>CONCATENATE(B513,C513)</f>
        <v/>
      </c>
      <c r="K513" s="9">
        <f>IF(OR(H513="",H513=0),L513,H513)</f>
        <v/>
      </c>
      <c r="L513" s="9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 t="n"/>
      <c r="N513" s="115" t="n"/>
      <c r="O513" s="6" t="n"/>
    </row>
    <row r="514">
      <c r="A514" s="112" t="n"/>
      <c r="B514" s="4" t="n"/>
      <c r="C514" s="4" t="n"/>
      <c r="D514" s="7" t="n"/>
      <c r="E514" s="7" t="n"/>
      <c r="F514" s="8">
        <f>IF(ISBLANK(B514),"",IF(I514="L","Baixa",IF(I514="A","Média",IF(I514="","","Alta"))))</f>
        <v/>
      </c>
      <c r="G514" s="7">
        <f>CONCATENATE(B514,I514)</f>
        <v/>
      </c>
      <c r="H514" s="5">
        <f>IF(ISBLANK(B514),"",IF(B514="ALI",IF(I514="L",7,IF(I514="A",10,15)),IF(B514="AIE",IF(I514="L",5,IF(I514="A",7,10)),IF(B514="SE",IF(I514="L",4,IF(I514="A",5,7)),IF(OR(B514="EE",B514="CE"),IF(I514="L",3,IF(I514="A",4,6)),0)))))</f>
        <v/>
      </c>
      <c r="I514" s="110">
        <f>IF(OR(ISBLANK(D514),ISBLANK(E514)),IF(OR(B514="ALI",B514="AIE"),"L",IF(OR(B514="EE",B514="SE",B514="CE"),"A","")),IF(B514="EE",IF(E514&gt;=3,IF(D514&gt;=5,"H","A"),IF(E514&gt;=2,IF(D514&gt;=16,"H",IF(D514&lt;=4,"L","A")),IF(D514&lt;=15,"L","A"))),IF(OR(B514="SE",B514="CE"),IF(E514&gt;=4,IF(D514&gt;=6,"H","A"),IF(E514&gt;=2,IF(D514&gt;=20,"H",IF(D514&lt;=5,"L","A")),IF(D514&lt;=19,"L","A"))),IF(OR(B514="ALI",B514="AIE"),IF(E514&gt;=6,IF(D514&gt;=20,"H","A"),IF(E514&gt;=2,IF(D514&gt;=51,"H",IF(D514&lt;=19,"L","A")),IF(D514&lt;=50,"L","A"))),""))))</f>
        <v/>
      </c>
      <c r="J514" s="7">
        <f>CONCATENATE(B514,C514)</f>
        <v/>
      </c>
      <c r="K514" s="9">
        <f>IF(OR(H514="",H514=0),L514,H514)</f>
        <v/>
      </c>
      <c r="L514" s="9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 t="n"/>
      <c r="N514" s="115" t="n"/>
      <c r="O514" s="6" t="n"/>
    </row>
    <row r="515">
      <c r="A515" s="112" t="n"/>
      <c r="B515" s="4" t="n"/>
      <c r="C515" s="4" t="n"/>
      <c r="D515" s="7" t="n"/>
      <c r="E515" s="7" t="n"/>
      <c r="F515" s="8">
        <f>IF(ISBLANK(B515),"",IF(I515="L","Baixa",IF(I515="A","Média",IF(I515="","","Alta"))))</f>
        <v/>
      </c>
      <c r="G515" s="7">
        <f>CONCATENATE(B515,I515)</f>
        <v/>
      </c>
      <c r="H515" s="5">
        <f>IF(ISBLANK(B515),"",IF(B515="ALI",IF(I515="L",7,IF(I515="A",10,15)),IF(B515="AIE",IF(I515="L",5,IF(I515="A",7,10)),IF(B515="SE",IF(I515="L",4,IF(I515="A",5,7)),IF(OR(B515="EE",B515="CE"),IF(I515="L",3,IF(I515="A",4,6)),0)))))</f>
        <v/>
      </c>
      <c r="I515" s="110">
        <f>IF(OR(ISBLANK(D515),ISBLANK(E515)),IF(OR(B515="ALI",B515="AIE"),"L",IF(OR(B515="EE",B515="SE",B515="CE"),"A","")),IF(B515="EE",IF(E515&gt;=3,IF(D515&gt;=5,"H","A"),IF(E515&gt;=2,IF(D515&gt;=16,"H",IF(D515&lt;=4,"L","A")),IF(D515&lt;=15,"L","A"))),IF(OR(B515="SE",B515="CE"),IF(E515&gt;=4,IF(D515&gt;=6,"H","A"),IF(E515&gt;=2,IF(D515&gt;=20,"H",IF(D515&lt;=5,"L","A")),IF(D515&lt;=19,"L","A"))),IF(OR(B515="ALI",B515="AIE"),IF(E515&gt;=6,IF(D515&gt;=20,"H","A"),IF(E515&gt;=2,IF(D515&gt;=51,"H",IF(D515&lt;=19,"L","A")),IF(D515&lt;=50,"L","A"))),""))))</f>
        <v/>
      </c>
      <c r="J515" s="7">
        <f>CONCATENATE(B515,C515)</f>
        <v/>
      </c>
      <c r="K515" s="9">
        <f>IF(OR(H515="",H515=0),L515,H515)</f>
        <v/>
      </c>
      <c r="L515" s="9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 t="n"/>
      <c r="N515" s="115" t="n"/>
      <c r="O515" s="6" t="n"/>
    </row>
    <row r="516">
      <c r="A516" s="112" t="n"/>
      <c r="B516" s="4" t="n"/>
      <c r="C516" s="4" t="n"/>
      <c r="D516" s="7" t="n"/>
      <c r="E516" s="7" t="n"/>
      <c r="F516" s="8">
        <f>IF(ISBLANK(B516),"",IF(I516="L","Baixa",IF(I516="A","Média",IF(I516="","","Alta"))))</f>
        <v/>
      </c>
      <c r="G516" s="7">
        <f>CONCATENATE(B516,I516)</f>
        <v/>
      </c>
      <c r="H516" s="5">
        <f>IF(ISBLANK(B516),"",IF(B516="ALI",IF(I516="L",7,IF(I516="A",10,15)),IF(B516="AIE",IF(I516="L",5,IF(I516="A",7,10)),IF(B516="SE",IF(I516="L",4,IF(I516="A",5,7)),IF(OR(B516="EE",B516="CE"),IF(I516="L",3,IF(I516="A",4,6)),0)))))</f>
        <v/>
      </c>
      <c r="I516" s="110">
        <f>IF(OR(ISBLANK(D516),ISBLANK(E516)),IF(OR(B516="ALI",B516="AIE"),"L",IF(OR(B516="EE",B516="SE",B516="CE"),"A","")),IF(B516="EE",IF(E516&gt;=3,IF(D516&gt;=5,"H","A"),IF(E516&gt;=2,IF(D516&gt;=16,"H",IF(D516&lt;=4,"L","A")),IF(D516&lt;=15,"L","A"))),IF(OR(B516="SE",B516="CE"),IF(E516&gt;=4,IF(D516&gt;=6,"H","A"),IF(E516&gt;=2,IF(D516&gt;=20,"H",IF(D516&lt;=5,"L","A")),IF(D516&lt;=19,"L","A"))),IF(OR(B516="ALI",B516="AIE"),IF(E516&gt;=6,IF(D516&gt;=20,"H","A"),IF(E516&gt;=2,IF(D516&gt;=51,"H",IF(D516&lt;=19,"L","A")),IF(D516&lt;=50,"L","A"))),""))))</f>
        <v/>
      </c>
      <c r="J516" s="7">
        <f>CONCATENATE(B516,C516)</f>
        <v/>
      </c>
      <c r="K516" s="9">
        <f>IF(OR(H516="",H516=0),L516,H516)</f>
        <v/>
      </c>
      <c r="L516" s="9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 t="n"/>
      <c r="N516" s="115" t="n"/>
      <c r="O516" s="6" t="n"/>
    </row>
    <row r="517">
      <c r="A517" s="112" t="n"/>
      <c r="B517" s="4" t="n"/>
      <c r="C517" s="4" t="n"/>
      <c r="D517" s="7" t="n"/>
      <c r="E517" s="7" t="n"/>
      <c r="F517" s="8">
        <f>IF(ISBLANK(B517),"",IF(I517="L","Baixa",IF(I517="A","Média",IF(I517="","","Alta"))))</f>
        <v/>
      </c>
      <c r="G517" s="7">
        <f>CONCATENATE(B517,I517)</f>
        <v/>
      </c>
      <c r="H517" s="5">
        <f>IF(ISBLANK(B517),"",IF(B517="ALI",IF(I517="L",7,IF(I517="A",10,15)),IF(B517="AIE",IF(I517="L",5,IF(I517="A",7,10)),IF(B517="SE",IF(I517="L",4,IF(I517="A",5,7)),IF(OR(B517="EE",B517="CE"),IF(I517="L",3,IF(I517="A",4,6)),0)))))</f>
        <v/>
      </c>
      <c r="I517" s="110">
        <f>IF(OR(ISBLANK(D517),ISBLANK(E517)),IF(OR(B517="ALI",B517="AIE"),"L",IF(OR(B517="EE",B517="SE",B517="CE"),"A","")),IF(B517="EE",IF(E517&gt;=3,IF(D517&gt;=5,"H","A"),IF(E517&gt;=2,IF(D517&gt;=16,"H",IF(D517&lt;=4,"L","A")),IF(D517&lt;=15,"L","A"))),IF(OR(B517="SE",B517="CE"),IF(E517&gt;=4,IF(D517&gt;=6,"H","A"),IF(E517&gt;=2,IF(D517&gt;=20,"H",IF(D517&lt;=5,"L","A")),IF(D517&lt;=19,"L","A"))),IF(OR(B517="ALI",B517="AIE"),IF(E517&gt;=6,IF(D517&gt;=20,"H","A"),IF(E517&gt;=2,IF(D517&gt;=51,"H",IF(D517&lt;=19,"L","A")),IF(D517&lt;=50,"L","A"))),""))))</f>
        <v/>
      </c>
      <c r="J517" s="7">
        <f>CONCATENATE(B517,C517)</f>
        <v/>
      </c>
      <c r="K517" s="9">
        <f>IF(OR(H517="",H517=0),L517,H517)</f>
        <v/>
      </c>
      <c r="L517" s="9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 t="n"/>
      <c r="N517" s="115" t="n"/>
      <c r="O517" s="6" t="n"/>
    </row>
    <row r="518">
      <c r="A518" s="112" t="n"/>
      <c r="B518" s="4" t="n"/>
      <c r="C518" s="4" t="n"/>
      <c r="D518" s="7" t="n"/>
      <c r="E518" s="7" t="n"/>
      <c r="F518" s="8">
        <f>IF(ISBLANK(B518),"",IF(I518="L","Baixa",IF(I518="A","Média",IF(I518="","","Alta"))))</f>
        <v/>
      </c>
      <c r="G518" s="7">
        <f>CONCATENATE(B518,I518)</f>
        <v/>
      </c>
      <c r="H518" s="5">
        <f>IF(ISBLANK(B518),"",IF(B518="ALI",IF(I518="L",7,IF(I518="A",10,15)),IF(B518="AIE",IF(I518="L",5,IF(I518="A",7,10)),IF(B518="SE",IF(I518="L",4,IF(I518="A",5,7)),IF(OR(B518="EE",B518="CE"),IF(I518="L",3,IF(I518="A",4,6)),0)))))</f>
        <v/>
      </c>
      <c r="I518" s="110">
        <f>IF(OR(ISBLANK(D518),ISBLANK(E518)),IF(OR(B518="ALI",B518="AIE"),"L",IF(OR(B518="EE",B518="SE",B518="CE"),"A","")),IF(B518="EE",IF(E518&gt;=3,IF(D518&gt;=5,"H","A"),IF(E518&gt;=2,IF(D518&gt;=16,"H",IF(D518&lt;=4,"L","A")),IF(D518&lt;=15,"L","A"))),IF(OR(B518="SE",B518="CE"),IF(E518&gt;=4,IF(D518&gt;=6,"H","A"),IF(E518&gt;=2,IF(D518&gt;=20,"H",IF(D518&lt;=5,"L","A")),IF(D518&lt;=19,"L","A"))),IF(OR(B518="ALI",B518="AIE"),IF(E518&gt;=6,IF(D518&gt;=20,"H","A"),IF(E518&gt;=2,IF(D518&gt;=51,"H",IF(D518&lt;=19,"L","A")),IF(D518&lt;=50,"L","A"))),""))))</f>
        <v/>
      </c>
      <c r="J518" s="7">
        <f>CONCATENATE(B518,C518)</f>
        <v/>
      </c>
      <c r="K518" s="9">
        <f>IF(OR(H518="",H518=0),L518,H518)</f>
        <v/>
      </c>
      <c r="L518" s="9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 t="n"/>
      <c r="N518" s="115" t="n"/>
      <c r="O518" s="6" t="n"/>
    </row>
    <row r="519">
      <c r="A519" s="112" t="n"/>
      <c r="B519" s="4" t="n"/>
      <c r="C519" s="4" t="n"/>
      <c r="D519" s="7" t="n"/>
      <c r="E519" s="7" t="n"/>
      <c r="F519" s="8">
        <f>IF(ISBLANK(B519),"",IF(I519="L","Baixa",IF(I519="A","Média",IF(I519="","","Alta"))))</f>
        <v/>
      </c>
      <c r="G519" s="7">
        <f>CONCATENATE(B519,I519)</f>
        <v/>
      </c>
      <c r="H519" s="5">
        <f>IF(ISBLANK(B519),"",IF(B519="ALI",IF(I519="L",7,IF(I519="A",10,15)),IF(B519="AIE",IF(I519="L",5,IF(I519="A",7,10)),IF(B519="SE",IF(I519="L",4,IF(I519="A",5,7)),IF(OR(B519="EE",B519="CE"),IF(I519="L",3,IF(I519="A",4,6)),0)))))</f>
        <v/>
      </c>
      <c r="I519" s="110">
        <f>IF(OR(ISBLANK(D519),ISBLANK(E519)),IF(OR(B519="ALI",B519="AIE"),"L",IF(OR(B519="EE",B519="SE",B519="CE"),"A","")),IF(B519="EE",IF(E519&gt;=3,IF(D519&gt;=5,"H","A"),IF(E519&gt;=2,IF(D519&gt;=16,"H",IF(D519&lt;=4,"L","A")),IF(D519&lt;=15,"L","A"))),IF(OR(B519="SE",B519="CE"),IF(E519&gt;=4,IF(D519&gt;=6,"H","A"),IF(E519&gt;=2,IF(D519&gt;=20,"H",IF(D519&lt;=5,"L","A")),IF(D519&lt;=19,"L","A"))),IF(OR(B519="ALI",B519="AIE"),IF(E519&gt;=6,IF(D519&gt;=20,"H","A"),IF(E519&gt;=2,IF(D519&gt;=51,"H",IF(D519&lt;=19,"L","A")),IF(D519&lt;=50,"L","A"))),""))))</f>
        <v/>
      </c>
      <c r="J519" s="7">
        <f>CONCATENATE(B519,C519)</f>
        <v/>
      </c>
      <c r="K519" s="9">
        <f>IF(OR(H519="",H519=0),L519,H519)</f>
        <v/>
      </c>
      <c r="L519" s="9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 t="n"/>
      <c r="N519" s="115" t="n"/>
      <c r="O519" s="6" t="n"/>
    </row>
    <row r="520">
      <c r="A520" s="112" t="n"/>
      <c r="B520" s="4" t="n"/>
      <c r="C520" s="4" t="n"/>
      <c r="D520" s="7" t="n"/>
      <c r="E520" s="7" t="n"/>
      <c r="F520" s="8">
        <f>IF(ISBLANK(B520),"",IF(I520="L","Baixa",IF(I520="A","Média",IF(I520="","","Alta"))))</f>
        <v/>
      </c>
      <c r="G520" s="7">
        <f>CONCATENATE(B520,I520)</f>
        <v/>
      </c>
      <c r="H520" s="5">
        <f>IF(ISBLANK(B520),"",IF(B520="ALI",IF(I520="L",7,IF(I520="A",10,15)),IF(B520="AIE",IF(I520="L",5,IF(I520="A",7,10)),IF(B520="SE",IF(I520="L",4,IF(I520="A",5,7)),IF(OR(B520="EE",B520="CE"),IF(I520="L",3,IF(I520="A",4,6)),0)))))</f>
        <v/>
      </c>
      <c r="I520" s="110">
        <f>IF(OR(ISBLANK(D520),ISBLANK(E520)),IF(OR(B520="ALI",B520="AIE"),"L",IF(OR(B520="EE",B520="SE",B520="CE"),"A","")),IF(B520="EE",IF(E520&gt;=3,IF(D520&gt;=5,"H","A"),IF(E520&gt;=2,IF(D520&gt;=16,"H",IF(D520&lt;=4,"L","A")),IF(D520&lt;=15,"L","A"))),IF(OR(B520="SE",B520="CE"),IF(E520&gt;=4,IF(D520&gt;=6,"H","A"),IF(E520&gt;=2,IF(D520&gt;=20,"H",IF(D520&lt;=5,"L","A")),IF(D520&lt;=19,"L","A"))),IF(OR(B520="ALI",B520="AIE"),IF(E520&gt;=6,IF(D520&gt;=20,"H","A"),IF(E520&gt;=2,IF(D520&gt;=51,"H",IF(D520&lt;=19,"L","A")),IF(D520&lt;=50,"L","A"))),""))))</f>
        <v/>
      </c>
      <c r="J520" s="7">
        <f>CONCATENATE(B520,C520)</f>
        <v/>
      </c>
      <c r="K520" s="9">
        <f>IF(OR(H520="",H520=0),L520,H520)</f>
        <v/>
      </c>
      <c r="L520" s="9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 t="n"/>
      <c r="N520" s="115" t="n"/>
      <c r="O520" s="6" t="n"/>
    </row>
    <row r="521">
      <c r="A521" s="112" t="n"/>
      <c r="B521" s="4" t="n"/>
      <c r="C521" s="4" t="n"/>
      <c r="D521" s="7" t="n"/>
      <c r="E521" s="7" t="n"/>
      <c r="F521" s="8">
        <f>IF(ISBLANK(B521),"",IF(I521="L","Baixa",IF(I521="A","Média",IF(I521="","","Alta"))))</f>
        <v/>
      </c>
      <c r="G521" s="7">
        <f>CONCATENATE(B521,I521)</f>
        <v/>
      </c>
      <c r="H521" s="5">
        <f>IF(ISBLANK(B521),"",IF(B521="ALI",IF(I521="L",7,IF(I521="A",10,15)),IF(B521="AIE",IF(I521="L",5,IF(I521="A",7,10)),IF(B521="SE",IF(I521="L",4,IF(I521="A",5,7)),IF(OR(B521="EE",B521="CE"),IF(I521="L",3,IF(I521="A",4,6)),0)))))</f>
        <v/>
      </c>
      <c r="I521" s="110">
        <f>IF(OR(ISBLANK(D521),ISBLANK(E521)),IF(OR(B521="ALI",B521="AIE"),"L",IF(OR(B521="EE",B521="SE",B521="CE"),"A","")),IF(B521="EE",IF(E521&gt;=3,IF(D521&gt;=5,"H","A"),IF(E521&gt;=2,IF(D521&gt;=16,"H",IF(D521&lt;=4,"L","A")),IF(D521&lt;=15,"L","A"))),IF(OR(B521="SE",B521="CE"),IF(E521&gt;=4,IF(D521&gt;=6,"H","A"),IF(E521&gt;=2,IF(D521&gt;=20,"H",IF(D521&lt;=5,"L","A")),IF(D521&lt;=19,"L","A"))),IF(OR(B521="ALI",B521="AIE"),IF(E521&gt;=6,IF(D521&gt;=20,"H","A"),IF(E521&gt;=2,IF(D521&gt;=51,"H",IF(D521&lt;=19,"L","A")),IF(D521&lt;=50,"L","A"))),""))))</f>
        <v/>
      </c>
      <c r="J521" s="7">
        <f>CONCATENATE(B521,C521)</f>
        <v/>
      </c>
      <c r="K521" s="9">
        <f>IF(OR(H521="",H521=0),L521,H521)</f>
        <v/>
      </c>
      <c r="L521" s="9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 t="n"/>
      <c r="N521" s="115" t="n"/>
      <c r="O521" s="6" t="n"/>
    </row>
    <row r="522" ht="13.8" customHeight="1" thickBot="1">
      <c r="A522" s="113" t="n"/>
      <c r="B522" s="11" t="n"/>
      <c r="C522" s="11" t="n"/>
      <c r="D522" s="12" t="n"/>
      <c r="E522" s="12" t="n"/>
      <c r="F522" s="13">
        <f>IF(ISBLANK(B522),"",IF(I522="L","Baixa",IF(I522="A","Média",IF(I522="","","Alta"))))</f>
        <v/>
      </c>
      <c r="G522" s="14">
        <f>CONCATENATE(B522,I522)</f>
        <v/>
      </c>
      <c r="H522" s="15">
        <f>IF(ISBLANK(B522),"",IF(B522="ALI",IF(I522="L",7,IF(I522="A",10,15)),IF(B522="AIE",IF(I522="L",5,IF(I522="A",7,10)),IF(B522="SE",IF(I522="L",4,IF(I522="A",5,7)),IF(OR(B522="EE",B522="CE"),IF(I522="L",3,IF(I522="A",4,6)),0)))))</f>
        <v/>
      </c>
      <c r="I522" s="111">
        <f>IF(OR(ISBLANK(D522),ISBLANK(E522)),IF(OR(B522="ALI",B522="AIE"),"L",IF(OR(B522="EE",B522="SE",B522="CE"),"A","")),IF(B522="EE",IF(E522&gt;=3,IF(D522&gt;=5,"H","A"),IF(E522&gt;=2,IF(D522&gt;=16,"H",IF(D522&lt;=4,"L","A")),IF(D522&lt;=15,"L","A"))),IF(OR(B522="SE",B522="CE"),IF(E522&gt;=4,IF(D522&gt;=6,"H","A"),IF(E522&gt;=2,IF(D522&gt;=20,"H",IF(D522&lt;=5,"L","A")),IF(D522&lt;=19,"L","A"))),IF(OR(B522="ALI",B522="AIE"),IF(E522&gt;=6,IF(D522&gt;=20,"H","A"),IF(E522&gt;=2,IF(D522&gt;=51,"H",IF(D522&lt;=19,"L","A")),IF(D522&lt;=50,"L","A"))),""))))</f>
        <v/>
      </c>
      <c r="J522" s="12">
        <f>CONCATENATE(B522,C522)</f>
        <v/>
      </c>
      <c r="K522" s="16">
        <f>IF(OR(H522="",H522=0),L522,H522)</f>
        <v/>
      </c>
      <c r="L522" s="16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7" t="n"/>
      <c r="N522" s="116" t="n"/>
      <c r="O522" s="18" t="n"/>
    </row>
    <row r="1048572">
      <c r="C1048572" s="4" t="n"/>
    </row>
  </sheetData>
  <mergeCells count="7">
    <mergeCell ref="B5:J5"/>
    <mergeCell ref="M4:O4"/>
    <mergeCell ref="M5:O5"/>
    <mergeCell ref="B4:J4"/>
    <mergeCell ref="A1:O3"/>
    <mergeCell ref="M6:O6"/>
    <mergeCell ref="B6:J6"/>
  </mergeCells>
  <conditionalFormatting sqref="C8">
    <cfRule type="cellIs" priority="286" operator="equal" dxfId="4" stopIfTrue="1">
      <formula>"A"</formula>
    </cfRule>
    <cfRule type="cellIs" priority="285" operator="equal" dxfId="3" stopIfTrue="1">
      <formula>"I"</formula>
    </cfRule>
    <cfRule type="cellIs" priority="287" operator="equal" dxfId="5" stopIfTrue="1">
      <formula>"E"</formula>
    </cfRule>
    <cfRule type="cellIs" priority="284" operator="equal" dxfId="2" stopIfTrue="1">
      <formula>"E"</formula>
    </cfRule>
  </conditionalFormatting>
  <conditionalFormatting sqref="C8:C11">
    <cfRule type="cellIs" priority="2" operator="equal" dxfId="2" stopIfTrue="1">
      <formula>"E"</formula>
    </cfRule>
    <cfRule type="cellIs" priority="3" operator="equal" dxfId="3" stopIfTrue="1">
      <formula>"I"</formula>
    </cfRule>
    <cfRule type="cellIs" priority="4" operator="equal" dxfId="4" stopIfTrue="1">
      <formula>"A"</formula>
    </cfRule>
    <cfRule type="cellIs" priority="5" operator="equal" dxfId="5" stopIfTrue="1">
      <formula>"E"</formula>
    </cfRule>
    <cfRule type="cellIs" priority="10" operator="equal" dxfId="4" stopIfTrue="1">
      <formula>"A"</formula>
    </cfRule>
    <cfRule type="cellIs" priority="1" operator="equal" dxfId="4" stopIfTrue="1">
      <formula>"A"</formula>
    </cfRule>
  </conditionalFormatting>
  <conditionalFormatting sqref="C8:C23">
    <cfRule type="cellIs" priority="6" operator="equal" dxfId="0" stopIfTrue="1">
      <formula>"I"</formula>
    </cfRule>
  </conditionalFormatting>
  <conditionalFormatting sqref="C9:C11">
    <cfRule type="cellIs" priority="7" operator="equal" dxfId="1" stopIfTrue="1">
      <formula>"A"</formula>
    </cfRule>
    <cfRule type="cellIs" priority="8" operator="equal" dxfId="2" stopIfTrue="1">
      <formula>"E"</formula>
    </cfRule>
    <cfRule type="cellIs" priority="9" operator="equal" dxfId="3" stopIfTrue="1">
      <formula>"I"</formula>
    </cfRule>
    <cfRule type="cellIs" priority="11" operator="equal" dxfId="5" stopIfTrue="1">
      <formula>"E"</formula>
    </cfRule>
  </conditionalFormatting>
  <conditionalFormatting sqref="C10:C11">
    <cfRule type="cellIs" priority="20" operator="equal" dxfId="2" stopIfTrue="1">
      <formula>"E"</formula>
    </cfRule>
    <cfRule type="cellIs" priority="21" operator="equal" dxfId="3" stopIfTrue="1">
      <formula>"I"</formula>
    </cfRule>
    <cfRule type="cellIs" priority="23" operator="equal" dxfId="5" stopIfTrue="1">
      <formula>"E"</formula>
    </cfRule>
    <cfRule type="cellIs" priority="22" operator="equal" dxfId="4" stopIfTrue="1">
      <formula>"A"</formula>
    </cfRule>
    <cfRule type="cellIs" priority="16" operator="equal" dxfId="4" stopIfTrue="1">
      <formula>"A"</formula>
    </cfRule>
  </conditionalFormatting>
  <conditionalFormatting sqref="C11">
    <cfRule type="cellIs" priority="14" operator="equal" dxfId="2" stopIfTrue="1">
      <formula>"E"</formula>
    </cfRule>
    <cfRule type="cellIs" priority="15" operator="equal" dxfId="3" stopIfTrue="1">
      <formula>"I"</formula>
    </cfRule>
    <cfRule type="cellIs" priority="17" operator="equal" dxfId="5" stopIfTrue="1">
      <formula>"E"</formula>
    </cfRule>
  </conditionalFormatting>
  <conditionalFormatting sqref="C12">
    <cfRule type="cellIs" priority="140" operator="equal" dxfId="2" stopIfTrue="1">
      <formula>"E"</formula>
    </cfRule>
    <cfRule type="cellIs" priority="141" operator="equal" dxfId="3" stopIfTrue="1">
      <formula>"I"</formula>
    </cfRule>
    <cfRule type="cellIs" priority="142" operator="equal" dxfId="4" stopIfTrue="1">
      <formula>"A"</formula>
    </cfRule>
    <cfRule type="cellIs" priority="143" operator="equal" dxfId="5" stopIfTrue="1">
      <formula>"E"</formula>
    </cfRule>
  </conditionalFormatting>
  <conditionalFormatting sqref="C12:C13">
    <cfRule type="cellIs" priority="64" operator="equal" dxfId="4" stopIfTrue="1">
      <formula>"A"</formula>
    </cfRule>
  </conditionalFormatting>
  <conditionalFormatting sqref="C13">
    <cfRule type="cellIs" priority="61" operator="equal" dxfId="1" stopIfTrue="1">
      <formula>"A"</formula>
    </cfRule>
    <cfRule type="cellIs" priority="62" operator="equal" dxfId="2" stopIfTrue="1">
      <formula>"E"</formula>
    </cfRule>
    <cfRule type="cellIs" priority="63" operator="equal" dxfId="3" stopIfTrue="1">
      <formula>"I"</formula>
    </cfRule>
    <cfRule type="cellIs" priority="65" operator="equal" dxfId="5" stopIfTrue="1">
      <formula>"E"</formula>
    </cfRule>
  </conditionalFormatting>
  <conditionalFormatting sqref="C14">
    <cfRule type="cellIs" priority="227" operator="equal" dxfId="5" stopIfTrue="1">
      <formula>"E"</formula>
    </cfRule>
    <cfRule type="cellIs" priority="226" operator="equal" dxfId="4" stopIfTrue="1">
      <formula>"A"</formula>
    </cfRule>
    <cfRule type="cellIs" priority="224" operator="equal" dxfId="2" stopIfTrue="1">
      <formula>"E"</formula>
    </cfRule>
    <cfRule type="cellIs" priority="225" operator="equal" dxfId="3" stopIfTrue="1">
      <formula>"I"</formula>
    </cfRule>
  </conditionalFormatting>
  <conditionalFormatting sqref="C14:C15">
    <cfRule type="cellIs" priority="220" operator="equal" dxfId="4" stopIfTrue="1">
      <formula>"A"</formula>
    </cfRule>
  </conditionalFormatting>
  <conditionalFormatting sqref="C15">
    <cfRule type="cellIs" priority="221" operator="equal" dxfId="5" stopIfTrue="1">
      <formula>"E"</formula>
    </cfRule>
    <cfRule type="cellIs" priority="219" operator="equal" dxfId="3" stopIfTrue="1">
      <formula>"I"</formula>
    </cfRule>
    <cfRule type="cellIs" priority="218" operator="equal" dxfId="2" stopIfTrue="1">
      <formula>"E"</formula>
    </cfRule>
  </conditionalFormatting>
  <conditionalFormatting sqref="C15:C17">
    <cfRule type="cellIs" priority="214" operator="equal" dxfId="4" stopIfTrue="1">
      <formula>"A"</formula>
    </cfRule>
  </conditionalFormatting>
  <conditionalFormatting sqref="C16">
    <cfRule type="cellIs" priority="211" operator="equal" dxfId="1" stopIfTrue="1">
      <formula>"A"</formula>
    </cfRule>
    <cfRule type="cellIs" priority="212" operator="equal" dxfId="2" stopIfTrue="1">
      <formula>"E"</formula>
    </cfRule>
    <cfRule type="cellIs" priority="213" operator="equal" dxfId="3" stopIfTrue="1">
      <formula>"I"</formula>
    </cfRule>
    <cfRule type="cellIs" priority="215" operator="equal" dxfId="5" stopIfTrue="1">
      <formula>"E"</formula>
    </cfRule>
  </conditionalFormatting>
  <conditionalFormatting sqref="C17">
    <cfRule type="cellIs" priority="539" operator="equal" dxfId="5" stopIfTrue="1">
      <formula>"E"</formula>
    </cfRule>
    <cfRule type="cellIs" priority="538" operator="equal" dxfId="4" stopIfTrue="1">
      <formula>"A"</formula>
    </cfRule>
    <cfRule type="cellIs" priority="537" operator="equal" dxfId="3" stopIfTrue="1">
      <formula>"I"</formula>
    </cfRule>
    <cfRule type="cellIs" priority="536" operator="equal" dxfId="2" stopIfTrue="1">
      <formula>"E"</formula>
    </cfRule>
  </conditionalFormatting>
  <conditionalFormatting sqref="C18">
    <cfRule type="cellIs" priority="194" operator="equal" dxfId="2" stopIfTrue="1">
      <formula>"E"</formula>
    </cfRule>
    <cfRule type="cellIs" priority="195" operator="equal" dxfId="3" stopIfTrue="1">
      <formula>"I"</formula>
    </cfRule>
    <cfRule type="cellIs" priority="196" operator="equal" dxfId="4" stopIfTrue="1">
      <formula>"A"</formula>
    </cfRule>
    <cfRule type="cellIs" priority="197" operator="equal" dxfId="5" stopIfTrue="1">
      <formula>"E"</formula>
    </cfRule>
  </conditionalFormatting>
  <conditionalFormatting sqref="C18:C19">
    <cfRule type="cellIs" priority="172" operator="equal" dxfId="4" stopIfTrue="1">
      <formula>"A"</formula>
    </cfRule>
  </conditionalFormatting>
  <conditionalFormatting sqref="C19">
    <cfRule type="cellIs" priority="173" operator="equal" dxfId="5" stopIfTrue="1">
      <formula>"E"</formula>
    </cfRule>
    <cfRule type="cellIs" priority="171" operator="equal" dxfId="3" stopIfTrue="1">
      <formula>"I"</formula>
    </cfRule>
    <cfRule type="cellIs" priority="170" operator="equal" dxfId="2" stopIfTrue="1">
      <formula>"E"</formula>
    </cfRule>
  </conditionalFormatting>
  <conditionalFormatting sqref="C19:C20">
    <cfRule type="cellIs" priority="166" operator="equal" dxfId="4" stopIfTrue="1">
      <formula>"A"</formula>
    </cfRule>
  </conditionalFormatting>
  <conditionalFormatting sqref="C20">
    <cfRule type="cellIs" priority="165" operator="equal" dxfId="3" stopIfTrue="1">
      <formula>"I"</formula>
    </cfRule>
    <cfRule type="cellIs" priority="164" operator="equal" dxfId="2" stopIfTrue="1">
      <formula>"E"</formula>
    </cfRule>
    <cfRule type="cellIs" priority="163" operator="equal" dxfId="1" stopIfTrue="1">
      <formula>"A"</formula>
    </cfRule>
    <cfRule type="cellIs" priority="167" operator="equal" dxfId="5" stopIfTrue="1">
      <formula>"E"</formula>
    </cfRule>
  </conditionalFormatting>
  <conditionalFormatting sqref="C21">
    <cfRule type="cellIs" priority="188" operator="equal" dxfId="2" stopIfTrue="1">
      <formula>"E"</formula>
    </cfRule>
    <cfRule type="cellIs" priority="191" operator="equal" dxfId="5" stopIfTrue="1">
      <formula>"E"</formula>
    </cfRule>
    <cfRule type="cellIs" priority="190" operator="equal" dxfId="4" stopIfTrue="1">
      <formula>"A"</formula>
    </cfRule>
    <cfRule type="cellIs" priority="189" operator="equal" dxfId="3" stopIfTrue="1">
      <formula>"I"</formula>
    </cfRule>
  </conditionalFormatting>
  <conditionalFormatting sqref="C21:C22">
    <cfRule type="cellIs" priority="184" operator="equal" dxfId="4" stopIfTrue="1">
      <formula>"A"</formula>
    </cfRule>
  </conditionalFormatting>
  <conditionalFormatting sqref="C22">
    <cfRule type="cellIs" priority="182" operator="equal" dxfId="2" stopIfTrue="1">
      <formula>"E"</formula>
    </cfRule>
    <cfRule type="cellIs" priority="183" operator="equal" dxfId="3" stopIfTrue="1">
      <formula>"I"</formula>
    </cfRule>
    <cfRule type="cellIs" priority="185" operator="equal" dxfId="5" stopIfTrue="1">
      <formula>"E"</formula>
    </cfRule>
  </conditionalFormatting>
  <conditionalFormatting sqref="C22:C522">
    <cfRule type="cellIs" priority="178" operator="equal" dxfId="4" stopIfTrue="1">
      <formula>"A"</formula>
    </cfRule>
  </conditionalFormatting>
  <conditionalFormatting sqref="C23">
    <cfRule type="cellIs" priority="175" operator="equal" dxfId="1" stopIfTrue="1">
      <formula>"A"</formula>
    </cfRule>
    <cfRule type="cellIs" priority="176" operator="equal" dxfId="2" stopIfTrue="1">
      <formula>"E"</formula>
    </cfRule>
  </conditionalFormatting>
  <conditionalFormatting sqref="C23:C522">
    <cfRule type="cellIs" priority="177" operator="equal" dxfId="3" stopIfTrue="1">
      <formula>"I"</formula>
    </cfRule>
    <cfRule type="cellIs" priority="179" operator="equal" dxfId="5" stopIfTrue="1">
      <formula>"E"</formula>
    </cfRule>
  </conditionalFormatting>
  <conditionalFormatting sqref="C1048572:C1048576">
    <cfRule type="cellIs" priority="35" operator="equal" dxfId="5" stopIfTrue="1">
      <formula>"E"</formula>
    </cfRule>
    <cfRule type="cellIs" priority="34" operator="equal" dxfId="4" stopIfTrue="1">
      <formula>"A"</formula>
    </cfRule>
    <cfRule type="cellIs" priority="33" operator="equal" dxfId="3" stopIfTrue="1">
      <formula>"I"</formula>
    </cfRule>
    <cfRule type="cellIs" priority="32" operator="equal" dxfId="2" stopIfTrue="1">
      <formula>"E"</formula>
    </cfRule>
    <cfRule type="cellIs" priority="31" operator="equal" dxfId="1" stopIfTrue="1">
      <formula>"A"</formula>
    </cfRule>
    <cfRule type="cellIs" priority="30" operator="equal" dxfId="0" stopIfTrue="1">
      <formula>"I"</formula>
    </cfRule>
  </conditionalFormatting>
  <dataValidations xWindow="500" yWindow="443" count="2">
    <dataValidation sqref="C8:C522 C1048572:C1048576" showDropDown="0" showInputMessage="1" showErrorMessage="1" allowBlank="1" promptTitle="Tipo de Manutenção na Função" prompt="I, A, E _x000a_ou_x000a_Itens não mensuráveis" type="list" operator="equal">
      <formula1>TiposDeManutencao</formula1>
      <formula2>0</formula2>
    </dataValidation>
    <dataValidation sqref="B8:B522" showDropDown="0" showInputMessage="1" showErrorMessage="1" allowBlank="1" promptTitle="Tipo da Função" prompt="ALI, AIE, EE, SE, CE_x000a_ou_x000a_Itens não mensuráveis" type="list" operator="equal">
      <formula1>TiposDeFuncao</formula1>
      <formula2>0</formula2>
    </dataValidation>
  </dataValidations>
  <pageMargins left="0.7083333333333334" right="0.7083333333333334" top="0.7479166666666667" bottom="0.7486111111111111" header="0.5118055555555555" footer="0.3152777777777778"/>
  <pageSetup orientation="landscape" paperSize="9" scale="73" fitToHeight="0" firstPageNumber="0" horizontalDpi="300" verticalDpi="300"/>
  <headerFooter alignWithMargins="0">
    <oddHeader/>
    <oddFooter>&amp;CPágina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Plan3">
    <outlinePr summaryBelow="1" summaryRight="1"/>
    <pageSetUpPr/>
  </sheetPr>
  <dimension ref="A1:L64"/>
  <sheetViews>
    <sheetView showGridLines="0" view="pageBreakPreview" zoomScaleSheetLayoutView="100" workbookViewId="0">
      <pane ySplit="1" topLeftCell="A11" activePane="bottomLeft" state="frozen"/>
      <selection activeCell="B11" sqref="B11"/>
      <selection pane="bottomLeft" activeCell="F26" sqref="F26"/>
    </sheetView>
  </sheetViews>
  <sheetFormatPr baseColWidth="8" defaultColWidth="11.44140625" defaultRowHeight="13.2"/>
  <cols>
    <col width="10.6640625" customWidth="1" min="4" max="4"/>
    <col width="23.33203125" customWidth="1" min="5" max="5"/>
    <col width="53.33203125" customWidth="1" min="6" max="6"/>
    <col width="7.6640625" customWidth="1" style="19" min="7" max="7"/>
    <col width="13.33203125" customWidth="1" style="20" min="8" max="8"/>
    <col width="9.88671875" customWidth="1" style="20" min="9" max="9"/>
    <col width="10.44140625" customWidth="1" min="10" max="11"/>
    <col hidden="1" style="19" min="12" max="12"/>
  </cols>
  <sheetData>
    <row r="1" ht="36.6" customHeight="1">
      <c r="A1" s="156" t="inlineStr">
        <is>
          <t>Itens Não Mensuráveis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8" t="n"/>
      <c r="L1" s="21" t="n"/>
    </row>
    <row r="2" ht="14.85" customHeight="1">
      <c r="A2" s="163" t="inlineStr">
        <is>
          <t>Tipo de Manutenção na Função</t>
        </is>
      </c>
      <c r="B2" s="44" t="n"/>
      <c r="C2" s="44" t="n"/>
      <c r="D2" s="44" t="n"/>
      <c r="E2" s="44" t="n"/>
      <c r="F2" s="182" t="n"/>
      <c r="G2" s="161" t="inlineStr">
        <is>
          <t>Sigla</t>
        </is>
      </c>
      <c r="H2" s="161" t="inlineStr">
        <is>
          <t>Contribuição em PF Local</t>
        </is>
      </c>
      <c r="I2" s="182" t="n"/>
      <c r="J2" s="161" t="inlineStr">
        <is>
          <t>PF IFPUG</t>
        </is>
      </c>
      <c r="K2" s="162" t="inlineStr">
        <is>
          <t>PF Local FS</t>
        </is>
      </c>
    </row>
    <row r="3" ht="14.85" customHeight="1">
      <c r="A3" s="163" t="inlineStr">
        <is>
          <t>Contrato</t>
        </is>
      </c>
      <c r="B3" s="161" t="inlineStr">
        <is>
          <t>Descrição</t>
        </is>
      </c>
      <c r="C3" s="44" t="n"/>
      <c r="D3" s="44" t="n"/>
      <c r="E3" s="182" t="n"/>
      <c r="F3" s="161" t="inlineStr">
        <is>
          <t>Origem</t>
        </is>
      </c>
      <c r="G3" s="209" t="n"/>
      <c r="H3" s="161" t="inlineStr">
        <is>
          <t>Percentual (%)</t>
        </is>
      </c>
      <c r="I3" s="161" t="inlineStr">
        <is>
          <t>Fixa (PF)</t>
        </is>
      </c>
      <c r="J3" s="209" t="n"/>
      <c r="K3" s="210" t="n"/>
    </row>
    <row r="4">
      <c r="A4" s="173" t="inlineStr">
        <is>
          <t>Adicionada</t>
        </is>
      </c>
      <c r="B4" s="153" t="inlineStr">
        <is>
          <t>Inclusão</t>
        </is>
      </c>
      <c r="C4" s="44" t="n"/>
      <c r="D4" s="44" t="n"/>
      <c r="E4" s="182" t="n"/>
      <c r="F4" s="153" t="n"/>
      <c r="G4" s="24" t="inlineStr">
        <is>
          <t>I</t>
        </is>
      </c>
      <c r="H4" s="211" t="n">
        <v>1</v>
      </c>
      <c r="I4" s="94" t="n"/>
      <c r="J4" s="95">
        <f>SUMIF(Funções!$C$8:$C$522,Deflatores!G4,Funções!$H$8:$H$522)</f>
        <v/>
      </c>
      <c r="K4" s="96">
        <f>IF(H4="",COUNTIF(Funções!C$8:C$522,G4)*I4,H4*J4)</f>
        <v/>
      </c>
    </row>
    <row r="5">
      <c r="A5" s="173" t="inlineStr">
        <is>
          <t>Alterada</t>
        </is>
      </c>
      <c r="B5" s="153" t="inlineStr">
        <is>
          <t>Alteração (sem conhecimento do Fator de Impacto)</t>
        </is>
      </c>
      <c r="C5" s="44" t="n"/>
      <c r="D5" s="44" t="n"/>
      <c r="E5" s="182" t="n"/>
      <c r="F5" s="153" t="inlineStr">
        <is>
          <t>SISP – 4.2 Projeto de Melhoria</t>
        </is>
      </c>
      <c r="G5" s="24" t="inlineStr">
        <is>
          <t>A</t>
        </is>
      </c>
      <c r="H5" s="211" t="n">
        <v>0.5</v>
      </c>
      <c r="I5" s="94" t="n"/>
      <c r="J5" s="95">
        <f>SUMIF(Funções!$C$8:$C$522,Deflatores!G5,Funções!$H$8:$H$522)</f>
        <v/>
      </c>
      <c r="K5" s="96">
        <f>IF(H5="",COUNTIF(Funções!C$8:C$522,G5)*I5,H5*J5)</f>
        <v/>
      </c>
    </row>
    <row r="6">
      <c r="A6" s="173" t="inlineStr">
        <is>
          <t>Excluída</t>
        </is>
      </c>
      <c r="B6" s="153" t="inlineStr">
        <is>
          <t>Exclusão</t>
        </is>
      </c>
      <c r="C6" s="44" t="n"/>
      <c r="D6" s="44" t="n"/>
      <c r="E6" s="182" t="n"/>
      <c r="F6" s="153" t="inlineStr">
        <is>
          <t>SISP – 4.2 Projeto de Melhoria</t>
        </is>
      </c>
      <c r="G6" s="24" t="inlineStr">
        <is>
          <t>E</t>
        </is>
      </c>
      <c r="H6" s="211" t="n">
        <v>0.3</v>
      </c>
      <c r="I6" s="94" t="n"/>
      <c r="J6" s="95">
        <f>SUMIF(Funções!$C$8:$C$522,Deflatores!G6,Funções!$H$8:$H$522)</f>
        <v/>
      </c>
      <c r="K6" s="96">
        <f>IF(H6="",COUNTIF(Funções!C$8:C$522,G6)*I6,H6*J6)</f>
        <v/>
      </c>
    </row>
    <row r="7">
      <c r="A7" s="173" t="n"/>
      <c r="B7" s="153" t="inlineStr">
        <is>
          <t>Alteração (50%) de função desenvolvida ou já alterada pela empresa atual</t>
        </is>
      </c>
      <c r="C7" s="44" t="n"/>
      <c r="D7" s="44" t="n"/>
      <c r="E7" s="182" t="n"/>
      <c r="F7" s="153" t="inlineStr">
        <is>
          <t>SISP – 4.2 Projeto de Melhoria</t>
        </is>
      </c>
      <c r="G7" s="24" t="inlineStr">
        <is>
          <t>A50</t>
        </is>
      </c>
      <c r="H7" s="211" t="n">
        <v>0.5</v>
      </c>
      <c r="I7" s="94" t="n"/>
      <c r="J7" s="95">
        <f>SUMIF(Funções!$C$8:$C$522,Deflatores!G7,Funções!$H$8:$H$522)</f>
        <v/>
      </c>
      <c r="K7" s="96">
        <f>IF(H7="",COUNTIF(Funções!C$8:C$522,G7)*I7,H7*J7)</f>
        <v/>
      </c>
    </row>
    <row r="8">
      <c r="A8" s="173" t="n"/>
      <c r="B8" s="153" t="inlineStr">
        <is>
          <t>Alteração (75%) de função não desenv. e ainda não alterada pela empresa atual</t>
        </is>
      </c>
      <c r="C8" s="44" t="n"/>
      <c r="D8" s="44" t="n"/>
      <c r="E8" s="182" t="n"/>
      <c r="F8" s="153" t="inlineStr">
        <is>
          <t>SISP – 4.2 Projeto de Melhoria</t>
        </is>
      </c>
      <c r="G8" s="24" t="inlineStr">
        <is>
          <t>A75</t>
        </is>
      </c>
      <c r="H8" s="211" t="n">
        <v>0.75</v>
      </c>
      <c r="I8" s="94" t="n"/>
      <c r="J8" s="95">
        <f>SUMIF(Funções!$C$8:$C$522,Deflatores!G8,Funções!$H$8:$H$522)</f>
        <v/>
      </c>
      <c r="K8" s="96">
        <f>IF(H8="",COUNTIF(Funções!C$8:C$522,G8)*I8,H8*J8)</f>
        <v/>
      </c>
    </row>
    <row r="9">
      <c r="A9" s="173" t="n"/>
      <c r="B9" s="153" t="inlineStr">
        <is>
          <t>Alteração (75%+15%): o mesmo acima + redocumentar a função</t>
        </is>
      </c>
      <c r="C9" s="44" t="n"/>
      <c r="D9" s="44" t="n"/>
      <c r="E9" s="182" t="n"/>
      <c r="F9" s="153" t="inlineStr">
        <is>
          <t>SISP – 4.2 Projeto de Melhoria</t>
        </is>
      </c>
      <c r="G9" s="24" t="inlineStr">
        <is>
          <t>A90</t>
        </is>
      </c>
      <c r="H9" s="211" t="n">
        <v>0.9</v>
      </c>
      <c r="I9" s="94" t="n"/>
      <c r="J9" s="95">
        <f>SUMIF(Funções!$C$8:$C$522,Deflatores!G9,Funções!$H$8:$H$522)</f>
        <v/>
      </c>
      <c r="K9" s="96">
        <f>IF(H9="",COUNTIF(Funções!C$8:C$522,G9)*I9,H9*J9)</f>
        <v/>
      </c>
    </row>
    <row r="10">
      <c r="A10" s="173" t="n"/>
      <c r="B10" s="153" t="inlineStr">
        <is>
          <t>Migração de Dados</t>
        </is>
      </c>
      <c r="C10" s="44" t="n"/>
      <c r="D10" s="44" t="n"/>
      <c r="E10" s="182" t="n"/>
      <c r="F10" s="153" t="inlineStr">
        <is>
          <t>SISP – 4.3 Projetos de Migração de Dados</t>
        </is>
      </c>
      <c r="G10" s="24" t="inlineStr">
        <is>
          <t>PMD</t>
        </is>
      </c>
      <c r="H10" s="211" t="n">
        <v>1</v>
      </c>
      <c r="I10" s="94" t="n"/>
      <c r="J10" s="95">
        <f>SUMIF(Funções!$C$8:$C$522,Deflatores!G10,Funções!$H$8:$H$522)</f>
        <v/>
      </c>
      <c r="K10" s="96">
        <f>IF(H10="",COUNTIF(Funções!C$8:C$522,G10)*I10,H10*J10)</f>
        <v/>
      </c>
    </row>
    <row r="11">
      <c r="A11" s="173" t="n"/>
      <c r="B11" s="153" t="inlineStr">
        <is>
          <t>Corretiva (sem conhecimento do Fator de Impacto)</t>
        </is>
      </c>
      <c r="C11" s="44" t="n"/>
      <c r="D11" s="44" t="n"/>
      <c r="E11" s="182" t="n"/>
      <c r="F11" s="153" t="inlineStr">
        <is>
          <t>SISP – 4.4 Manutenção Corretiva</t>
        </is>
      </c>
      <c r="G11" s="24" t="inlineStr">
        <is>
          <t>COR</t>
        </is>
      </c>
      <c r="H11" s="211" t="n">
        <v>0.5</v>
      </c>
      <c r="I11" s="94" t="n"/>
      <c r="J11" s="95">
        <f>SUMIF(Funções!$C$8:$C$522,Deflatores!G11,Funções!$H$8:$H$522)</f>
        <v/>
      </c>
      <c r="K11" s="96">
        <f>IF(H11="",COUNTIF(Funções!C$8:C$522,G11)*I11,H11*J11)</f>
        <v/>
      </c>
    </row>
    <row r="12" ht="13.5" customHeight="1">
      <c r="A12" s="173" t="n"/>
      <c r="B12" s="153" t="inlineStr">
        <is>
          <t>Corretiva (50%) - Fora da garantia (mesma empresa)</t>
        </is>
      </c>
      <c r="C12" s="44" t="n"/>
      <c r="D12" s="44" t="n"/>
      <c r="E12" s="182" t="n"/>
      <c r="F12" s="153" t="inlineStr">
        <is>
          <t>SISP – 4.4 Manutenção Corretiva</t>
        </is>
      </c>
      <c r="G12" s="24" t="inlineStr">
        <is>
          <t>COR50</t>
        </is>
      </c>
      <c r="H12" s="211" t="n">
        <v>0.5</v>
      </c>
      <c r="I12" s="94" t="n"/>
      <c r="J12" s="95">
        <f>SUMIF(Funções!$C$8:$C$522,Deflatores!G12,Funções!$H$8:$H$522)</f>
        <v/>
      </c>
      <c r="K12" s="96">
        <f>IF(H12="",COUNTIF(Funções!C$8:C$522,G12)*I12,H12*J12)</f>
        <v/>
      </c>
    </row>
    <row r="13" ht="13.5" customHeight="1">
      <c r="A13" s="173" t="n"/>
      <c r="B13" s="153" t="inlineStr">
        <is>
          <t>Corretiva (75%) - Fora da garantia (outra empresa)</t>
        </is>
      </c>
      <c r="C13" s="44" t="n"/>
      <c r="D13" s="44" t="n"/>
      <c r="E13" s="182" t="n"/>
      <c r="F13" s="153" t="inlineStr">
        <is>
          <t>SISP – 4.4 Manutenção Corretiva</t>
        </is>
      </c>
      <c r="G13" s="24" t="inlineStr">
        <is>
          <t>COR75</t>
        </is>
      </c>
      <c r="H13" s="211" t="n">
        <v>0.75</v>
      </c>
      <c r="I13" s="94" t="n"/>
      <c r="J13" s="95">
        <f>SUMIF(Funções!$C$8:$C$522,Deflatores!G13,Funções!$H$8:$H$522)</f>
        <v/>
      </c>
      <c r="K13" s="96">
        <f>IF(H13="",COUNTIF(Funções!C$8:C$522,G13)*I13,H13*J13)</f>
        <v/>
      </c>
    </row>
    <row r="14" ht="13.5" customHeight="1">
      <c r="A14" s="173" t="n"/>
      <c r="B14" s="153" t="inlineStr">
        <is>
          <t>Corretiva (75%+15%) - Fora da garantia (outra empresa) + Redocumentação</t>
        </is>
      </c>
      <c r="C14" s="44" t="n"/>
      <c r="D14" s="44" t="n"/>
      <c r="E14" s="182" t="n"/>
      <c r="F14" s="153" t="inlineStr">
        <is>
          <t>SISP – 4.4 Manutenção Corretiva</t>
        </is>
      </c>
      <c r="G14" s="24" t="inlineStr">
        <is>
          <t>COR90</t>
        </is>
      </c>
      <c r="H14" s="211" t="n">
        <v>0.9</v>
      </c>
      <c r="I14" s="94" t="n"/>
      <c r="J14" s="95">
        <f>SUMIF(Funções!$C$8:$C$522,Deflatores!G14,Funções!$H$8:$H$522)</f>
        <v/>
      </c>
      <c r="K14" s="96">
        <f>IF(H14="",COUNTIF(Funções!C$8:C$522,G14)*I14,H14*J14)</f>
        <v/>
      </c>
    </row>
    <row r="15" ht="13.5" customHeight="1">
      <c r="A15" s="173" t="n"/>
      <c r="B15" s="153" t="inlineStr">
        <is>
          <t>Corretiva em Garantia</t>
        </is>
      </c>
      <c r="C15" s="44" t="n"/>
      <c r="D15" s="44" t="n"/>
      <c r="E15" s="182" t="n"/>
      <c r="F15" s="153" t="inlineStr">
        <is>
          <t>SISP – 4.4 Manutenção Corretiva</t>
        </is>
      </c>
      <c r="G15" s="24" t="inlineStr">
        <is>
          <t>GAR</t>
        </is>
      </c>
      <c r="H15" s="211" t="n">
        <v>0</v>
      </c>
      <c r="I15" s="94" t="n"/>
      <c r="J15" s="95">
        <f>SUMIF(Funções!$C$8:$C$522,Deflatores!G15,Funções!$H$8:$H$522)</f>
        <v/>
      </c>
      <c r="K15" s="96">
        <f>IF(H15="",COUNTIF(Funções!C$8:C$522,G15)*I15,H15*J15)</f>
        <v/>
      </c>
    </row>
    <row r="16" ht="13.5" customHeight="1">
      <c r="A16" s="173" t="n"/>
      <c r="B16" s="153" t="inlineStr">
        <is>
          <t>Mudança de Plataforma - Linguagem de Programação</t>
        </is>
      </c>
      <c r="C16" s="44" t="n"/>
      <c r="D16" s="44" t="n"/>
      <c r="E16" s="182" t="n"/>
      <c r="F16" s="153" t="inlineStr">
        <is>
          <t>SISP – 4.5.1 Mudança de Plataforma – Linguagem de Programação</t>
        </is>
      </c>
      <c r="G16" s="24" t="inlineStr">
        <is>
          <t>MLP</t>
        </is>
      </c>
      <c r="H16" s="211" t="n">
        <v>1</v>
      </c>
      <c r="I16" s="94" t="n"/>
      <c r="J16" s="95">
        <f>SUMIF(Funções!$C$8:$C$522,Deflatores!G16,Funções!$H$8:$H$522)</f>
        <v/>
      </c>
      <c r="K16" s="96">
        <f>IF(H16="",COUNTIF(Funções!C$8:C$522,G16)*I16,H16*J16)</f>
        <v/>
      </c>
    </row>
    <row r="17">
      <c r="A17" s="173" t="n"/>
      <c r="B17" s="153" t="inlineStr">
        <is>
          <t>Mudança de Plataforma - Banco de Dados (outro paradigma)</t>
        </is>
      </c>
      <c r="C17" s="44" t="n"/>
      <c r="D17" s="44" t="n"/>
      <c r="E17" s="182" t="n"/>
      <c r="F17" s="153" t="inlineStr">
        <is>
          <t>SISP – 4.5.2 Mudança de Plataforma – Banco de Dados</t>
        </is>
      </c>
      <c r="G17" s="24" t="inlineStr">
        <is>
          <t>MBO</t>
        </is>
      </c>
      <c r="H17" s="211" t="n">
        <v>1</v>
      </c>
      <c r="I17" s="94" t="n"/>
      <c r="J17" s="95">
        <f>SUMIF(Funções!$C$8:$C$522,Deflatores!G17,Funções!$H$8:$H$522)</f>
        <v/>
      </c>
      <c r="K17" s="96">
        <f>IF(H17="",COUNTIF(Funções!C$8:C$522,G17)*I17,H17*J17)</f>
        <v/>
      </c>
    </row>
    <row r="18" ht="13.5" customHeight="1">
      <c r="A18" s="173" t="n"/>
      <c r="B18" s="153" t="inlineStr">
        <is>
          <t>Mudança de Plataforma - Banco de Dados (mesmo paradigma com alterações)</t>
        </is>
      </c>
      <c r="C18" s="44" t="n"/>
      <c r="D18" s="44" t="n"/>
      <c r="E18" s="182" t="n"/>
      <c r="F18" s="153" t="inlineStr">
        <is>
          <t>SISP – 4.5.2 Mudança de Plataforma – Banco de Dados</t>
        </is>
      </c>
      <c r="G18" s="24" t="inlineStr">
        <is>
          <t>MBM</t>
        </is>
      </c>
      <c r="H18" s="211" t="n">
        <v>0.3</v>
      </c>
      <c r="I18" s="94" t="n"/>
      <c r="J18" s="95">
        <f>SUMIF(Funções!$C$8:$C$522,Deflatores!G18,Funções!$H$8:$H$522)</f>
        <v/>
      </c>
      <c r="K18" s="96">
        <f>IF(H18="",COUNTIF(Funções!C$8:C$522,G18)*I18,H18*J18)</f>
        <v/>
      </c>
    </row>
    <row r="19" ht="13.5" customHeight="1">
      <c r="A19" s="173" t="n"/>
      <c r="B19" s="153" t="inlineStr">
        <is>
          <t>Atualização de Versão – Linguagem de Programação</t>
        </is>
      </c>
      <c r="C19" s="44" t="n"/>
      <c r="D19" s="44" t="n"/>
      <c r="E19" s="182" t="n"/>
      <c r="F19" s="153" t="inlineStr">
        <is>
          <t>SISP – 4.6.1 Atualização de Versão – Linguagem de Programação</t>
        </is>
      </c>
      <c r="G19" s="24" t="inlineStr">
        <is>
          <t>ALP</t>
        </is>
      </c>
      <c r="H19" s="211" t="n">
        <v>0.3</v>
      </c>
      <c r="I19" s="94" t="n"/>
      <c r="J19" s="95">
        <f>SUMIF(Funções!$C$8:$C$522,Deflatores!G19,Funções!$H$8:$H$522)</f>
        <v/>
      </c>
      <c r="K19" s="96">
        <f>IF(H19="",COUNTIF(Funções!C$8:C$522,G19)*I19,H19*J19)</f>
        <v/>
      </c>
    </row>
    <row r="20" ht="13.5" customHeight="1">
      <c r="A20" s="173" t="n"/>
      <c r="B20" s="153" t="inlineStr">
        <is>
          <t>Atualização de Versão – Browser</t>
        </is>
      </c>
      <c r="C20" s="44" t="n"/>
      <c r="D20" s="44" t="n"/>
      <c r="E20" s="182" t="n"/>
      <c r="F20" s="153" t="inlineStr">
        <is>
          <t>SISP – 4.6.2 Atualização de Versão – Browser</t>
        </is>
      </c>
      <c r="G20" s="24" t="inlineStr">
        <is>
          <t>AVB</t>
        </is>
      </c>
      <c r="H20" s="211" t="n">
        <v>0.3</v>
      </c>
      <c r="I20" s="94" t="n"/>
      <c r="J20" s="95">
        <f>SUMIF(Funções!$C$8:$C$522,Deflatores!G20,Funções!$H$8:$H$522)</f>
        <v/>
      </c>
      <c r="K20" s="96">
        <f>IF(H20="",COUNTIF(Funções!C$8:C$522,G20)*I20,H20*J20)</f>
        <v/>
      </c>
    </row>
    <row r="21" ht="13.5" customHeight="1">
      <c r="A21" s="173" t="n"/>
      <c r="B21" s="153" t="inlineStr">
        <is>
          <t>Atualização de Versão – Banco de Dados</t>
        </is>
      </c>
      <c r="C21" s="44" t="n"/>
      <c r="D21" s="44" t="n"/>
      <c r="E21" s="182" t="n"/>
      <c r="F21" s="153" t="inlineStr">
        <is>
          <t>SISP – 4.6.3 Atualização de Versão – Banco de Dados</t>
        </is>
      </c>
      <c r="G21" s="24" t="inlineStr">
        <is>
          <t>ABD</t>
        </is>
      </c>
      <c r="H21" s="211" t="n">
        <v>0.3</v>
      </c>
      <c r="I21" s="94" t="n"/>
      <c r="J21" s="95">
        <f>SUMIF(Funções!$C$8:$C$522,Deflatores!G21,Funções!$H$8:$H$522)</f>
        <v/>
      </c>
      <c r="K21" s="96">
        <f>IF(H21="",COUNTIF(Funções!C$8:C$522,G21)*I21,H21*J21)</f>
        <v/>
      </c>
    </row>
    <row r="22">
      <c r="A22" s="173" t="n"/>
      <c r="B22" s="153" t="inlineStr">
        <is>
          <t>Manutenção Cosmética</t>
        </is>
      </c>
      <c r="C22" s="44" t="n"/>
      <c r="D22" s="44" t="n"/>
      <c r="E22" s="182" t="n"/>
      <c r="F22" s="153" t="inlineStr">
        <is>
          <t>SISP – 4.7 Manutenção Cosmética</t>
        </is>
      </c>
      <c r="G22" s="24" t="inlineStr">
        <is>
          <t>COS</t>
        </is>
      </c>
      <c r="H22" s="211" t="n"/>
      <c r="I22" s="94" t="n">
        <v>0.6</v>
      </c>
      <c r="J22" s="95">
        <f>SUMIF(Funções!$C$8:$C$522,Deflatores!G22,Funções!$H$8:$H$522)</f>
        <v/>
      </c>
      <c r="K22" s="96">
        <f>IF(H22="",COUNTIF(Funções!C$8:C$522,G22)*I22,H22*J22)</f>
        <v/>
      </c>
    </row>
    <row r="23" ht="27" customHeight="1">
      <c r="A23" s="173" t="n"/>
      <c r="B23" s="167" t="inlineStr">
        <is>
          <t>Adaptação em Funcionalidades sem Alteração de Requisitos Funcionais
(sem conhecimento do Fator de Impacto)</t>
        </is>
      </c>
      <c r="C23" s="44" t="n"/>
      <c r="D23" s="44" t="n"/>
      <c r="E23" s="182" t="n"/>
      <c r="F23" s="167" t="inlineStr">
        <is>
          <t>SISP – 4.8 Adaptação em Funcionalidades sem Alteração de Requisitos Funcionais</t>
        </is>
      </c>
      <c r="G23" s="24" t="inlineStr">
        <is>
          <t>ARN</t>
        </is>
      </c>
      <c r="H23" s="211" t="n">
        <v>0.5</v>
      </c>
      <c r="I23" s="94" t="n"/>
      <c r="J23" s="95">
        <f>SUMIF(Funções!$C$8:$C$522,Deflatores!G23,Funções!$H$8:$H$522)</f>
        <v/>
      </c>
      <c r="K23" s="96">
        <f>IF(H23="",COUNTIF(Funções!C$8:C$522,G23)*I23,H23*J23)</f>
        <v/>
      </c>
    </row>
    <row r="24" ht="27" customHeight="1">
      <c r="A24" s="173" t="n"/>
      <c r="B24" s="167" t="inlineStr">
        <is>
          <t>Adaptação em Funcionalidades sem Alteração de Requisitos Funcionais (50%)
(em função desenvolvida ou já alterada pela empresa atual)</t>
        </is>
      </c>
      <c r="C24" s="44" t="n"/>
      <c r="D24" s="44" t="n"/>
      <c r="E24" s="182" t="n"/>
      <c r="F24" s="167" t="inlineStr">
        <is>
          <t>SISP – 4.8 Adaptação em Funcionalidades sem Alteração de Requisitos Funcionais</t>
        </is>
      </c>
      <c r="G24" s="24" t="inlineStr">
        <is>
          <t>ARN50</t>
        </is>
      </c>
      <c r="H24" s="211" t="n">
        <v>0.5</v>
      </c>
      <c r="I24" s="94" t="n"/>
      <c r="J24" s="95">
        <f>SUMIF(Funções!$C$8:$C$522,Deflatores!G24,Funções!$H$8:$H$522)</f>
        <v/>
      </c>
      <c r="K24" s="96">
        <f>IF(H24="",COUNTIF(Funções!C$8:C$522,G24)*I24,H24*J24)</f>
        <v/>
      </c>
    </row>
    <row r="25" ht="27" customHeight="1">
      <c r="A25" s="173" t="n"/>
      <c r="B25" s="167" t="inlineStr">
        <is>
          <t>Adaptação em Funcionalidades sem Alteração de Requisitos Funcionais (75%)
(em função não desenvolvida e ainda não alterada pela empresa atual)</t>
        </is>
      </c>
      <c r="C25" s="44" t="n"/>
      <c r="D25" s="44" t="n"/>
      <c r="E25" s="182" t="n"/>
      <c r="F25" s="167" t="inlineStr">
        <is>
          <t>SISP – 4.8 Adaptação em Funcionalidades sem Alteração de Requisitos Funcionais</t>
        </is>
      </c>
      <c r="G25" s="24" t="inlineStr">
        <is>
          <t>ARN75</t>
        </is>
      </c>
      <c r="H25" s="211" t="n">
        <v>0.75</v>
      </c>
      <c r="I25" s="94" t="n"/>
      <c r="J25" s="95">
        <f>SUMIF(Funções!$C$8:$C$522,Deflatores!G25,Funções!$H$8:$H$522)</f>
        <v/>
      </c>
      <c r="K25" s="96">
        <f>IF(H25="",COUNTIF(Funções!C$8:C$522,G25)*I25,H25*J25)</f>
        <v/>
      </c>
    </row>
    <row r="26" ht="13.5" customHeight="1">
      <c r="A26" s="173" t="n"/>
      <c r="B26" s="153" t="inlineStr">
        <is>
          <t>Atualização de Dados sem Consulta Prévia</t>
        </is>
      </c>
      <c r="C26" s="44" t="n"/>
      <c r="D26" s="44" t="n"/>
      <c r="E26" s="182" t="n"/>
      <c r="F26" s="153" t="inlineStr">
        <is>
          <t>SISP – 4.9.1 Apuração Especial – Base de Dados</t>
        </is>
      </c>
      <c r="G26" s="24" t="inlineStr">
        <is>
          <t>ADS</t>
        </is>
      </c>
      <c r="H26" s="211" t="n">
        <v>1</v>
      </c>
      <c r="I26" s="94" t="n"/>
      <c r="J26" s="95">
        <f>SUMIF(Funções!$C$8:$C$522,Deflatores!G26,Funções!$H$8:$H$522)</f>
        <v/>
      </c>
      <c r="K26" s="96">
        <f>IF(H26="",COUNTIF(Funções!C$8:C$522,G26)*I26,H26*J26)</f>
        <v/>
      </c>
    </row>
    <row r="27" ht="13.5" customHeight="1">
      <c r="A27" s="173" t="n"/>
      <c r="B27" s="153" t="inlineStr">
        <is>
          <t>Consulta Prévia sem Atualização</t>
        </is>
      </c>
      <c r="C27" s="44" t="n"/>
      <c r="D27" s="44" t="n"/>
      <c r="E27" s="182" t="n"/>
      <c r="F27" s="153" t="inlineStr">
        <is>
          <t>SISP – 4.9.1 Apuração Especial – Base de Dados</t>
        </is>
      </c>
      <c r="G27" s="24" t="inlineStr">
        <is>
          <t>CPA</t>
        </is>
      </c>
      <c r="H27" s="211" t="n">
        <v>1</v>
      </c>
      <c r="I27" s="94" t="n"/>
      <c r="J27" s="95">
        <f>SUMIF(Funções!$C$8:$C$522,Deflatores!G27,Funções!$H$8:$H$522)</f>
        <v/>
      </c>
      <c r="K27" s="96">
        <f>IF(H27="",COUNTIF(Funções!C$8:C$522,G27)*I27,H27*J27)</f>
        <v/>
      </c>
    </row>
    <row r="28" ht="13.5" customHeight="1">
      <c r="A28" s="173" t="n"/>
      <c r="B28" s="153" t="inlineStr">
        <is>
          <t>Atualização de Dados com Consulta Prévia</t>
        </is>
      </c>
      <c r="C28" s="44" t="n"/>
      <c r="D28" s="44" t="n"/>
      <c r="E28" s="182" t="n"/>
      <c r="F28" s="153" t="inlineStr">
        <is>
          <t>SISP – 4.9.1 Apuração Especial – Base de Dados</t>
        </is>
      </c>
      <c r="G28" s="24" t="inlineStr">
        <is>
          <t>ADC</t>
        </is>
      </c>
      <c r="H28" s="211" t="n">
        <v>0.6</v>
      </c>
      <c r="I28" s="94" t="n"/>
      <c r="J28" s="95">
        <f>SUMIF(Funções!$C$8:$C$522,Deflatores!G28,Funções!$H$8:$H$522)</f>
        <v/>
      </c>
      <c r="K28" s="96">
        <f>IF(H28="",COUNTIF(Funções!C$8:C$522,G28)*I28,H28*J28)</f>
        <v/>
      </c>
    </row>
    <row r="29" ht="13.5" customHeight="1">
      <c r="A29" s="173" t="n"/>
      <c r="B29" s="153" t="inlineStr">
        <is>
          <t>Apuração Especial – Geração de Relatórios</t>
        </is>
      </c>
      <c r="C29" s="44" t="n"/>
      <c r="D29" s="44" t="n"/>
      <c r="E29" s="182" t="n"/>
      <c r="F29" s="153" t="inlineStr">
        <is>
          <t>SISP – 4.9.2 Apuração Especial – Geração de Relatórios</t>
        </is>
      </c>
      <c r="G29" s="24" t="inlineStr">
        <is>
          <t>AGR</t>
        </is>
      </c>
      <c r="H29" s="211" t="n">
        <v>1</v>
      </c>
      <c r="I29" s="94" t="n"/>
      <c r="J29" s="95">
        <f>SUMIF(Funções!$C$8:$C$522,Deflatores!G29,Funções!$H$8:$H$522)</f>
        <v/>
      </c>
      <c r="K29" s="96">
        <f>IF(H29="",COUNTIF(Funções!C$8:C$522,G29)*I29,H29*J29)</f>
        <v/>
      </c>
    </row>
    <row r="30" ht="13.5" customHeight="1">
      <c r="A30" s="173" t="n"/>
      <c r="B30" s="153" t="inlineStr">
        <is>
          <t>Apuração Especial – Reexecução</t>
        </is>
      </c>
      <c r="C30" s="44" t="n"/>
      <c r="D30" s="44" t="n"/>
      <c r="E30" s="182" t="n"/>
      <c r="F30" s="153" t="inlineStr">
        <is>
          <t>SISP – 4.9.3 Apuração Especial – Reexecução</t>
        </is>
      </c>
      <c r="G30" s="24" t="inlineStr">
        <is>
          <t>AER</t>
        </is>
      </c>
      <c r="H30" s="211" t="n">
        <v>0.1</v>
      </c>
      <c r="I30" s="94" t="n"/>
      <c r="J30" s="95">
        <f>SUMIF(Funções!$C$8:$C$522,Deflatores!G30,Funções!$H$8:$H$522)</f>
        <v/>
      </c>
      <c r="K30" s="96">
        <f>IF(H30="",COUNTIF(Funções!C$8:C$522,G30)*I30,H30*J30)</f>
        <v/>
      </c>
    </row>
    <row r="31" ht="13.5" customHeight="1">
      <c r="A31" s="173" t="n"/>
      <c r="B31" s="153" t="inlineStr">
        <is>
          <t>Atualização de Dados</t>
        </is>
      </c>
      <c r="C31" s="44" t="n"/>
      <c r="D31" s="44" t="n"/>
      <c r="E31" s="182" t="n"/>
      <c r="F31" s="153" t="inlineStr">
        <is>
          <t>SISP – 4.10 Atualização de Dados</t>
        </is>
      </c>
      <c r="G31" s="24" t="inlineStr">
        <is>
          <t>ATD</t>
        </is>
      </c>
      <c r="H31" s="211" t="n">
        <v>0.1</v>
      </c>
      <c r="I31" s="94" t="n"/>
      <c r="J31" s="95">
        <f>SUMIF(Funções!$C$8:$C$522,Deflatores!G31,Funções!$H$8:$H$522)</f>
        <v/>
      </c>
      <c r="K31" s="96">
        <f>IF(H31="",COUNTIF(Funções!C$8:C$522,G31)*I31,H31*J31)</f>
        <v/>
      </c>
    </row>
    <row r="32" ht="13.5" customHeight="1">
      <c r="A32" s="173" t="n"/>
      <c r="B32" s="106" t="inlineStr">
        <is>
          <t>Manutenção de Documentação de Sistemas Legados</t>
        </is>
      </c>
      <c r="C32" s="107" t="n"/>
      <c r="D32" s="107" t="n"/>
      <c r="E32" s="108" t="n"/>
      <c r="F32" s="153" t="inlineStr">
        <is>
          <t>SISP – 4.12 Manutenção de Documentação de Sistemas Legados</t>
        </is>
      </c>
      <c r="G32" s="24" t="inlineStr">
        <is>
          <t>MSL</t>
        </is>
      </c>
      <c r="H32" s="211" t="n">
        <v>0.25</v>
      </c>
      <c r="I32" s="94" t="n"/>
      <c r="J32" s="95">
        <f>SUMIF(Funções!$C$8:$C$522,Deflatores!G32,Funções!$H$8:$H$522)</f>
        <v/>
      </c>
      <c r="K32" s="96">
        <f>IF(H32="",COUNTIF(Funções!C$8:C$522,G32)*I32,H32*J32)</f>
        <v/>
      </c>
    </row>
    <row r="33" ht="13.5" customHeight="1">
      <c r="A33" s="173" t="n"/>
      <c r="B33" s="106" t="inlineStr">
        <is>
          <t>Verificação de Erros (Sem Documentação de Teste existente)</t>
        </is>
      </c>
      <c r="C33" s="107" t="n"/>
      <c r="D33" s="107" t="n"/>
      <c r="E33" s="108" t="n"/>
      <c r="F33" s="153" t="inlineStr">
        <is>
          <t>SISP – 4.13 Verificação de Erros</t>
        </is>
      </c>
      <c r="G33" s="24" t="inlineStr">
        <is>
          <t>VES</t>
        </is>
      </c>
      <c r="H33" s="211" t="n">
        <v>0.2</v>
      </c>
      <c r="I33" s="94" t="n"/>
      <c r="J33" s="95">
        <f>SUMIF(Funções!$C$8:$C$522,Deflatores!G33,Funções!$H$8:$H$522)</f>
        <v/>
      </c>
      <c r="K33" s="96">
        <f>IF(H33="",COUNTIF(Funções!C$8:C$522,G33)*I33,H33*J33)</f>
        <v/>
      </c>
    </row>
    <row r="34" ht="13.5" customHeight="1">
      <c r="A34" s="173" t="n"/>
      <c r="B34" s="106" t="inlineStr">
        <is>
          <t>Verificação de Erros (Com Documentação de Teste existente)</t>
        </is>
      </c>
      <c r="C34" s="107" t="n"/>
      <c r="D34" s="107" t="n"/>
      <c r="E34" s="108" t="n"/>
      <c r="F34" s="153" t="inlineStr">
        <is>
          <t>SISP – 4.13 Verificação de Erros</t>
        </is>
      </c>
      <c r="G34" s="24" t="inlineStr">
        <is>
          <t>VEC</t>
        </is>
      </c>
      <c r="H34" s="211" t="n">
        <v>0.15</v>
      </c>
      <c r="I34" s="94" t="n"/>
      <c r="J34" s="95">
        <f>SUMIF(Funções!$C$8:$C$522,Deflatores!G34,Funções!$H$8:$H$522)</f>
        <v/>
      </c>
      <c r="K34" s="96">
        <f>IF(H34="",COUNTIF(Funções!C$8:C$522,G34)*I34,H34*J34)</f>
        <v/>
      </c>
    </row>
    <row r="35" ht="13.5" customHeight="1">
      <c r="A35" s="173" t="n"/>
      <c r="B35" s="106" t="inlineStr">
        <is>
          <t>Pontos de Função de Teste</t>
        </is>
      </c>
      <c r="C35" s="107" t="n"/>
      <c r="D35" s="107" t="n"/>
      <c r="E35" s="108" t="n"/>
      <c r="F35" s="153" t="inlineStr">
        <is>
          <t>SISP – 4.14 Pontos de Função de Teste</t>
        </is>
      </c>
      <c r="G35" s="24" t="inlineStr">
        <is>
          <t>PFT</t>
        </is>
      </c>
      <c r="H35" s="211" t="n">
        <v>0.15</v>
      </c>
      <c r="I35" s="94" t="n"/>
      <c r="J35" s="95">
        <f>SUMIF(Funções!$C$8:$C$522,Deflatores!G35,Funções!$H$8:$H$522)</f>
        <v/>
      </c>
      <c r="K35" s="96">
        <f>IF(H35="",COUNTIF(Funções!C$8:C$522,G35)*I35,H35*J35)</f>
        <v/>
      </c>
    </row>
    <row r="36" ht="13.5" customHeight="1">
      <c r="A36" s="173" t="n"/>
      <c r="B36" s="153" t="inlineStr">
        <is>
          <t>Componente Interno Reusável</t>
        </is>
      </c>
      <c r="C36" s="44" t="n"/>
      <c r="D36" s="44" t="n"/>
      <c r="E36" s="182" t="n"/>
      <c r="F36" s="153" t="inlineStr">
        <is>
          <t>SISP – 4.15 Componente Interno Reusável</t>
        </is>
      </c>
      <c r="G36" s="24" t="inlineStr">
        <is>
          <t>CIR</t>
        </is>
      </c>
      <c r="H36" s="211" t="n">
        <v>1</v>
      </c>
      <c r="I36" s="94" t="n"/>
      <c r="J36" s="95">
        <f>SUMIF(Funções!$C$8:$C$522,Deflatores!G36,Funções!$H$8:$H$522)</f>
        <v/>
      </c>
      <c r="K36" s="96">
        <f>IF(H36="",COUNTIF(Funções!C$8:C$522,G36)*I36,H36*J36)</f>
        <v/>
      </c>
    </row>
    <row r="37" ht="13.5" customHeight="1">
      <c r="A37" s="173" t="n"/>
      <c r="B37" s="153" t="n"/>
      <c r="C37" s="44" t="n"/>
      <c r="D37" s="44" t="n"/>
      <c r="E37" s="182" t="n"/>
      <c r="F37" s="153" t="n"/>
      <c r="G37" s="24" t="inlineStr">
        <is>
          <t xml:space="preserve">           .</t>
        </is>
      </c>
      <c r="H37" s="211" t="n"/>
      <c r="I37" s="94" t="n"/>
      <c r="J37" s="95">
        <f>SUMIF(Funções!$C$8:$C$522,Deflatores!G37,Funções!$H$8:$H$522)</f>
        <v/>
      </c>
      <c r="K37" s="96">
        <f>IF(H37="",COUNTIF(Funções!C$8:C$522,G37)*I37,H37*J37)</f>
        <v/>
      </c>
      <c r="L37" s="19" t="inlineStr">
        <is>
          <t>ALI</t>
        </is>
      </c>
    </row>
    <row r="38" ht="13.5" customHeight="1">
      <c r="A38" s="173" t="n"/>
      <c r="B38" s="153" t="n"/>
      <c r="C38" s="44" t="n"/>
      <c r="D38" s="44" t="n"/>
      <c r="E38" s="182" t="n"/>
      <c r="F38" s="153" t="n"/>
      <c r="G38" s="24" t="inlineStr">
        <is>
          <t xml:space="preserve">           .</t>
        </is>
      </c>
      <c r="H38" s="211" t="n"/>
      <c r="I38" s="94" t="n"/>
      <c r="J38" s="95">
        <f>SUMIF(Funções!$C$8:$C$522,Deflatores!G38,Funções!$H$8:$H$522)</f>
        <v/>
      </c>
      <c r="K38" s="96">
        <f>IF(H38="",COUNTIF(Funções!C$8:C$522,G38)*I38,H38*J38)</f>
        <v/>
      </c>
      <c r="L38" s="19" t="inlineStr">
        <is>
          <t>AIE</t>
        </is>
      </c>
    </row>
    <row r="39" ht="13.8" customHeight="1">
      <c r="A39" s="69" t="n"/>
      <c r="B39" s="70" t="n"/>
      <c r="C39" s="70" t="n"/>
      <c r="D39" s="70" t="n"/>
      <c r="E39" s="70" t="n"/>
      <c r="F39" s="70" t="n"/>
      <c r="G39" s="71" t="n"/>
      <c r="H39" s="212" t="n"/>
      <c r="I39" s="212" t="n"/>
      <c r="J39" s="73" t="n"/>
      <c r="K39" s="74" t="n"/>
      <c r="L39" s="19" t="inlineStr">
        <is>
          <t>EE</t>
        </is>
      </c>
    </row>
    <row r="40" ht="14.85" customHeight="1">
      <c r="A40" s="163" t="inlineStr">
        <is>
          <t>Itens Não Mensuráveis</t>
        </is>
      </c>
      <c r="B40" s="44" t="n"/>
      <c r="C40" s="44" t="n"/>
      <c r="D40" s="44" t="n"/>
      <c r="E40" s="44" t="n"/>
      <c r="F40" s="182" t="n"/>
      <c r="G40" s="161" t="inlineStr">
        <is>
          <t>Sigla</t>
        </is>
      </c>
      <c r="H40" s="161" t="inlineStr">
        <is>
          <t>Contribuição em PF Local</t>
        </is>
      </c>
      <c r="I40" s="206" t="n"/>
      <c r="J40" s="161" t="inlineStr">
        <is>
          <t>Quantidade</t>
        </is>
      </c>
      <c r="K40" s="162" t="inlineStr">
        <is>
          <t>PF Local FS</t>
        </is>
      </c>
      <c r="L40" s="19" t="inlineStr">
        <is>
          <t>CE</t>
        </is>
      </c>
    </row>
    <row r="41" ht="14.85" customHeight="1">
      <c r="A41" s="163" t="inlineStr">
        <is>
          <t>Contrato</t>
        </is>
      </c>
      <c r="B41" s="161" t="inlineStr">
        <is>
          <t>Descrição</t>
        </is>
      </c>
      <c r="C41" s="44" t="n"/>
      <c r="D41" s="44" t="n"/>
      <c r="E41" s="182" t="n"/>
      <c r="F41" s="161" t="inlineStr">
        <is>
          <t>Origem</t>
        </is>
      </c>
      <c r="G41" s="209" t="n"/>
      <c r="H41" s="213" t="n"/>
      <c r="I41" s="214" t="n"/>
      <c r="J41" s="209" t="n"/>
      <c r="K41" s="210" t="n"/>
      <c r="L41" s="19" t="inlineStr">
        <is>
          <t>SE</t>
        </is>
      </c>
    </row>
    <row r="42" ht="13.5" customHeight="1">
      <c r="A42" s="26" t="n"/>
      <c r="B42" s="153" t="inlineStr">
        <is>
          <t>Páginas Estáticas</t>
        </is>
      </c>
      <c r="C42" s="44" t="n"/>
      <c r="D42" s="44" t="n"/>
      <c r="E42" s="182" t="n"/>
      <c r="F42" s="153" t="inlineStr">
        <is>
          <t>SISP – 4.11 Desenvolvimento, Manutenção e Publicação de Paginas Estáticas de Intranet, Internet ou Portal</t>
        </is>
      </c>
      <c r="G42" s="24" t="inlineStr">
        <is>
          <t>PAG</t>
        </is>
      </c>
      <c r="H42" s="158" t="n">
        <v>0.6</v>
      </c>
      <c r="I42" s="182" t="n"/>
      <c r="J42" s="27">
        <f>COUNTIF(Funções!B$8:B$522,G42)</f>
        <v/>
      </c>
      <c r="K42" s="25">
        <f>SUMIF(Funções!B$8:B$522,$G42,Funções!K$8:K$522)</f>
        <v/>
      </c>
      <c r="L42" s="19">
        <f>""&amp;G42</f>
        <v/>
      </c>
    </row>
    <row r="43" ht="13.5" customHeight="1">
      <c r="A43" s="26" t="n"/>
      <c r="B43" s="153" t="inlineStr">
        <is>
          <t>Manutenção Cosmética (atrelada a algo não funcional)</t>
        </is>
      </c>
      <c r="C43" s="44" t="n"/>
      <c r="D43" s="44" t="n"/>
      <c r="E43" s="182" t="n"/>
      <c r="F43" s="153" t="inlineStr">
        <is>
          <t>SISP – 4.7 Manutenção Cosmética</t>
        </is>
      </c>
      <c r="G43" s="24" t="inlineStr">
        <is>
          <t>COSNF</t>
        </is>
      </c>
      <c r="H43" s="158" t="n">
        <v>0.6</v>
      </c>
      <c r="I43" s="182" t="n"/>
      <c r="J43" s="27">
        <f>COUNTIF(Funções!B$8:B$522,G43)</f>
        <v/>
      </c>
      <c r="K43" s="25">
        <f>SUMIF(Funções!B$8:B$522,$G43,Funções!K$8:K$522)</f>
        <v/>
      </c>
      <c r="L43" s="19">
        <f>""&amp;G43</f>
        <v/>
      </c>
    </row>
    <row r="44" ht="13.5" customHeight="1">
      <c r="A44" s="26" t="n"/>
      <c r="B44" s="153" t="inlineStr">
        <is>
          <t>Dados de Código</t>
        </is>
      </c>
      <c r="C44" s="44" t="n"/>
      <c r="D44" s="44" t="n"/>
      <c r="E44" s="182" t="n"/>
      <c r="F44" s="153" t="n"/>
      <c r="G44" s="24" t="inlineStr">
        <is>
          <t>DC</t>
        </is>
      </c>
      <c r="H44" s="158" t="n">
        <v>0</v>
      </c>
      <c r="I44" s="182" t="n"/>
      <c r="J44" s="27">
        <f>COUNTIF(Funções!B$8:B$522,G44)</f>
        <v/>
      </c>
      <c r="K44" s="25">
        <f>SUMIF(Funções!B$8:B$522,$G44,Funções!K$8:K$522)</f>
        <v/>
      </c>
      <c r="L44" s="19">
        <f>""&amp;G44</f>
        <v/>
      </c>
    </row>
    <row r="45" ht="13.5" customHeight="1">
      <c r="A45" s="26" t="n"/>
      <c r="B45" s="153" t="n"/>
      <c r="C45" s="44" t="n"/>
      <c r="D45" s="44" t="n"/>
      <c r="E45" s="182" t="n"/>
      <c r="F45" s="153" t="n"/>
      <c r="G45" s="24" t="inlineStr">
        <is>
          <t xml:space="preserve">           .</t>
        </is>
      </c>
      <c r="H45" s="158" t="n"/>
      <c r="I45" s="182" t="n"/>
      <c r="J45" s="27">
        <f>COUNTIF(Funções!B$8:B$522,G45)</f>
        <v/>
      </c>
      <c r="K45" s="25">
        <f>SUMIF(Funções!B$8:B$522,$G45,Funções!K$8:K$522)</f>
        <v/>
      </c>
      <c r="L45" s="19">
        <f>""&amp;G45</f>
        <v/>
      </c>
    </row>
    <row r="46" ht="13.5" customHeight="1">
      <c r="A46" s="26" t="n"/>
      <c r="B46" s="153" t="n"/>
      <c r="C46" s="44" t="n"/>
      <c r="D46" s="44" t="n"/>
      <c r="E46" s="182" t="n"/>
      <c r="F46" s="153" t="n"/>
      <c r="G46" s="24" t="inlineStr">
        <is>
          <t xml:space="preserve">           .</t>
        </is>
      </c>
      <c r="H46" s="158" t="n"/>
      <c r="I46" s="182" t="n"/>
      <c r="J46" s="27">
        <f>COUNTIF(Funções!B$8:B$522,G46)</f>
        <v/>
      </c>
      <c r="K46" s="25">
        <f>SUMIF(Funções!B$8:B$522,$G46,Funções!K$8:K$522)</f>
        <v/>
      </c>
      <c r="L46" s="19">
        <f>""&amp;G46</f>
        <v/>
      </c>
    </row>
    <row r="47" ht="13.8" customHeight="1">
      <c r="A47" s="26" t="n"/>
      <c r="B47" s="153" t="n"/>
      <c r="C47" s="44" t="n"/>
      <c r="D47" s="44" t="n"/>
      <c r="E47" s="182" t="n"/>
      <c r="F47" s="153" t="n"/>
      <c r="G47" s="24" t="inlineStr">
        <is>
          <t xml:space="preserve">           .</t>
        </is>
      </c>
      <c r="H47" s="158" t="n"/>
      <c r="I47" s="182" t="n"/>
      <c r="J47" s="27">
        <f>COUNTIF(Funções!B$8:B$522,G47)</f>
        <v/>
      </c>
      <c r="K47" s="25">
        <f>SUMIF(Funções!B$8:B$522,$G47,Funções!K$8:K$522)</f>
        <v/>
      </c>
      <c r="L47" s="19">
        <f>""&amp;G47</f>
        <v/>
      </c>
    </row>
    <row r="48" ht="13.8" customHeight="1">
      <c r="A48" s="26" t="n"/>
      <c r="B48" s="153" t="n"/>
      <c r="C48" s="44" t="n"/>
      <c r="D48" s="44" t="n"/>
      <c r="E48" s="182" t="n"/>
      <c r="F48" s="153" t="n"/>
      <c r="G48" s="24" t="inlineStr">
        <is>
          <t xml:space="preserve">           .</t>
        </is>
      </c>
      <c r="H48" s="158" t="n"/>
      <c r="I48" s="182" t="n"/>
      <c r="J48" s="27">
        <f>COUNTIF(Funções!B$8:B$522,G48)</f>
        <v/>
      </c>
      <c r="K48" s="25">
        <f>SUMIF(Funções!B$8:B$522,$G48,Funções!K$8:K$522)</f>
        <v/>
      </c>
      <c r="L48" s="19">
        <f>""&amp;G48</f>
        <v/>
      </c>
    </row>
    <row r="49" ht="13.8" customHeight="1">
      <c r="A49" s="26" t="n"/>
      <c r="B49" s="153" t="n"/>
      <c r="C49" s="44" t="n"/>
      <c r="D49" s="44" t="n"/>
      <c r="E49" s="182" t="n"/>
      <c r="F49" s="153" t="n"/>
      <c r="G49" s="24" t="inlineStr">
        <is>
          <t xml:space="preserve">           .</t>
        </is>
      </c>
      <c r="H49" s="158" t="n"/>
      <c r="I49" s="182" t="n"/>
      <c r="J49" s="27">
        <f>COUNTIF(Funções!B$8:B$522,G49)</f>
        <v/>
      </c>
      <c r="K49" s="25">
        <f>SUMIF(Funções!B$8:B$522,$G49,Funções!K$8:K$522)</f>
        <v/>
      </c>
      <c r="L49" s="19">
        <f>""&amp;G49</f>
        <v/>
      </c>
    </row>
    <row r="50" ht="13.8" customHeight="1">
      <c r="A50" s="26" t="n"/>
      <c r="B50" s="153" t="n"/>
      <c r="C50" s="44" t="n"/>
      <c r="D50" s="44" t="n"/>
      <c r="E50" s="182" t="n"/>
      <c r="F50" s="153" t="n"/>
      <c r="G50" s="24" t="inlineStr">
        <is>
          <t xml:space="preserve">           .</t>
        </is>
      </c>
      <c r="H50" s="158" t="n"/>
      <c r="I50" s="182" t="n"/>
      <c r="J50" s="27">
        <f>COUNTIF(Funções!B$8:B$522,G50)</f>
        <v/>
      </c>
      <c r="K50" s="25">
        <f>SUMIF(Funções!B$8:B$522,$G50,Funções!K$8:K$522)</f>
        <v/>
      </c>
      <c r="L50" s="19">
        <f>""&amp;G50</f>
        <v/>
      </c>
    </row>
    <row r="51" ht="13.8" customHeight="1">
      <c r="A51" s="26" t="n"/>
      <c r="B51" s="153" t="n"/>
      <c r="C51" s="44" t="n"/>
      <c r="D51" s="44" t="n"/>
      <c r="E51" s="182" t="n"/>
      <c r="F51" s="153" t="n"/>
      <c r="G51" s="24" t="inlineStr">
        <is>
          <t xml:space="preserve">           .</t>
        </is>
      </c>
      <c r="H51" s="158" t="n"/>
      <c r="I51" s="182" t="n"/>
      <c r="J51" s="27">
        <f>COUNTIF(Funções!B$8:B$522,G51)</f>
        <v/>
      </c>
      <c r="K51" s="25">
        <f>SUMIF(Funções!B$8:B$522,$G51,Funções!K$8:K$522)</f>
        <v/>
      </c>
      <c r="L51" s="19">
        <f>""&amp;G51</f>
        <v/>
      </c>
    </row>
    <row r="52" ht="13.8" customHeight="1">
      <c r="A52" s="26" t="n"/>
      <c r="B52" s="153" t="n"/>
      <c r="C52" s="44" t="n"/>
      <c r="D52" s="44" t="n"/>
      <c r="E52" s="182" t="n"/>
      <c r="F52" s="153" t="n"/>
      <c r="G52" s="24" t="inlineStr">
        <is>
          <t xml:space="preserve">           .</t>
        </is>
      </c>
      <c r="H52" s="158" t="n"/>
      <c r="I52" s="182" t="n"/>
      <c r="J52" s="27">
        <f>COUNTIF(Funções!B$8:B$522,G52)</f>
        <v/>
      </c>
      <c r="K52" s="25">
        <f>SUMIF(Funções!B$8:B$522,$G52,Funções!K$8:K$522)</f>
        <v/>
      </c>
      <c r="L52" s="19">
        <f>""&amp;G52</f>
        <v/>
      </c>
    </row>
    <row r="53" ht="13.8" customHeight="1">
      <c r="A53" s="26" t="n"/>
      <c r="B53" s="153" t="n"/>
      <c r="C53" s="44" t="n"/>
      <c r="D53" s="44" t="n"/>
      <c r="E53" s="182" t="n"/>
      <c r="F53" s="153" t="n"/>
      <c r="G53" s="24" t="inlineStr">
        <is>
          <t xml:space="preserve">           .</t>
        </is>
      </c>
      <c r="H53" s="158" t="n"/>
      <c r="I53" s="182" t="n"/>
      <c r="J53" s="27">
        <f>COUNTIF(Funções!B$8:B$522,G53)</f>
        <v/>
      </c>
      <c r="K53" s="25">
        <f>SUMIF(Funções!B$8:B$522,$G53,Funções!K$8:K$522)</f>
        <v/>
      </c>
      <c r="L53" s="19">
        <f>""&amp;G53</f>
        <v/>
      </c>
    </row>
    <row r="54" ht="13.8" customHeight="1">
      <c r="A54" s="26" t="n"/>
      <c r="B54" s="153" t="n"/>
      <c r="C54" s="44" t="n"/>
      <c r="D54" s="44" t="n"/>
      <c r="E54" s="182" t="n"/>
      <c r="F54" s="153" t="n"/>
      <c r="G54" s="24" t="inlineStr">
        <is>
          <t xml:space="preserve">           .</t>
        </is>
      </c>
      <c r="H54" s="158" t="n"/>
      <c r="I54" s="182" t="n"/>
      <c r="J54" s="27">
        <f>COUNTIF(Funções!B$8:B$522,G54)</f>
        <v/>
      </c>
      <c r="K54" s="25">
        <f>SUMIF(Funções!B$8:B$522,$G54,Funções!K$8:K$522)</f>
        <v/>
      </c>
      <c r="L54" s="19">
        <f>""&amp;G54</f>
        <v/>
      </c>
    </row>
    <row r="55" ht="13.8" customHeight="1">
      <c r="A55" s="26" t="n"/>
      <c r="B55" s="153" t="n"/>
      <c r="C55" s="44" t="n"/>
      <c r="D55" s="44" t="n"/>
      <c r="E55" s="182" t="n"/>
      <c r="F55" s="153" t="n"/>
      <c r="G55" s="24" t="inlineStr">
        <is>
          <t xml:space="preserve">           .</t>
        </is>
      </c>
      <c r="H55" s="158" t="n"/>
      <c r="I55" s="182" t="n"/>
      <c r="J55" s="27">
        <f>COUNTIF(Funções!B$8:B$522,G55)</f>
        <v/>
      </c>
      <c r="K55" s="25">
        <f>SUMIF(Funções!B$8:B$522,$G55,Funções!K$8:K$522)</f>
        <v/>
      </c>
      <c r="L55" s="19">
        <f>""&amp;G55</f>
        <v/>
      </c>
    </row>
    <row r="56" ht="13.8" customHeight="1">
      <c r="A56" s="26" t="n"/>
      <c r="B56" s="153" t="n"/>
      <c r="C56" s="44" t="n"/>
      <c r="D56" s="44" t="n"/>
      <c r="E56" s="182" t="n"/>
      <c r="F56" s="153" t="n"/>
      <c r="G56" s="24" t="inlineStr">
        <is>
          <t xml:space="preserve">           .</t>
        </is>
      </c>
      <c r="H56" s="158" t="n"/>
      <c r="I56" s="182" t="n"/>
      <c r="J56" s="27">
        <f>COUNTIF(Funções!B$8:B$522,G56)</f>
        <v/>
      </c>
      <c r="K56" s="25">
        <f>SUMIF(Funções!B$8:B$522,$G56,Funções!K$8:K$522)</f>
        <v/>
      </c>
      <c r="L56" s="19">
        <f>""&amp;G56</f>
        <v/>
      </c>
    </row>
    <row r="57" ht="13.8" customHeight="1">
      <c r="A57" s="26" t="n"/>
      <c r="B57" s="153" t="n"/>
      <c r="C57" s="44" t="n"/>
      <c r="D57" s="44" t="n"/>
      <c r="E57" s="182" t="n"/>
      <c r="F57" s="153" t="n"/>
      <c r="G57" s="24" t="inlineStr">
        <is>
          <t xml:space="preserve">           .</t>
        </is>
      </c>
      <c r="H57" s="158" t="n"/>
      <c r="I57" s="182" t="n"/>
      <c r="J57" s="27">
        <f>COUNTIF(Funções!B$8:B$522,G57)</f>
        <v/>
      </c>
      <c r="K57" s="25">
        <f>SUMIF(Funções!B$8:B$522,$G57,Funções!K$8:K$522)</f>
        <v/>
      </c>
      <c r="L57" s="19">
        <f>""&amp;G57</f>
        <v/>
      </c>
    </row>
    <row r="58" ht="13.8" customHeight="1">
      <c r="A58" s="26" t="n"/>
      <c r="B58" s="153" t="n"/>
      <c r="C58" s="44" t="n"/>
      <c r="D58" s="44" t="n"/>
      <c r="E58" s="182" t="n"/>
      <c r="F58" s="153" t="n"/>
      <c r="G58" s="24" t="inlineStr">
        <is>
          <t xml:space="preserve">           .</t>
        </is>
      </c>
      <c r="H58" s="158" t="n"/>
      <c r="I58" s="182" t="n"/>
      <c r="J58" s="27">
        <f>COUNTIF(Funções!B$8:B$522,G58)</f>
        <v/>
      </c>
      <c r="K58" s="25">
        <f>SUMIF(Funções!B$8:B$522,$G58,Funções!K$8:K$522)</f>
        <v/>
      </c>
      <c r="L58" s="19">
        <f>""&amp;G58</f>
        <v/>
      </c>
    </row>
    <row r="59" ht="13.8" customHeight="1">
      <c r="A59" s="26" t="n"/>
      <c r="B59" s="153" t="n"/>
      <c r="C59" s="44" t="n"/>
      <c r="D59" s="44" t="n"/>
      <c r="E59" s="182" t="n"/>
      <c r="F59" s="153" t="n"/>
      <c r="G59" s="24" t="inlineStr">
        <is>
          <t xml:space="preserve">           .</t>
        </is>
      </c>
      <c r="H59" s="158" t="n"/>
      <c r="I59" s="182" t="n"/>
      <c r="J59" s="27">
        <f>COUNTIF(Funções!B$8:B$522,G59)</f>
        <v/>
      </c>
      <c r="K59" s="25">
        <f>SUMIF(Funções!B$8:B$522,$G59,Funções!K$8:K$522)</f>
        <v/>
      </c>
      <c r="L59" s="19">
        <f>""&amp;G59</f>
        <v/>
      </c>
    </row>
    <row r="60" ht="13.8" customHeight="1">
      <c r="A60" s="26" t="n"/>
      <c r="B60" s="153" t="n"/>
      <c r="C60" s="44" t="n"/>
      <c r="D60" s="44" t="n"/>
      <c r="E60" s="182" t="n"/>
      <c r="F60" s="153" t="n"/>
      <c r="G60" s="24" t="inlineStr">
        <is>
          <t xml:space="preserve">           .</t>
        </is>
      </c>
      <c r="H60" s="158" t="n"/>
      <c r="I60" s="182" t="n"/>
      <c r="J60" s="27">
        <f>COUNTIF(Funções!B$8:B$522,G60)</f>
        <v/>
      </c>
      <c r="K60" s="25">
        <f>SUMIF(Funções!B$8:B$522,$G60,Funções!K$8:K$522)</f>
        <v/>
      </c>
      <c r="L60" s="19">
        <f>""&amp;G60</f>
        <v/>
      </c>
    </row>
    <row r="61" ht="13.8" customHeight="1">
      <c r="A61" s="26" t="n"/>
      <c r="B61" s="153" t="n"/>
      <c r="C61" s="44" t="n"/>
      <c r="D61" s="44" t="n"/>
      <c r="E61" s="182" t="n"/>
      <c r="F61" s="153" t="n"/>
      <c r="G61" s="24" t="inlineStr">
        <is>
          <t xml:space="preserve">           .</t>
        </is>
      </c>
      <c r="H61" s="158" t="n"/>
      <c r="I61" s="182" t="n"/>
      <c r="J61" s="27">
        <f>COUNTIF(Funções!B$8:B$522,G61)</f>
        <v/>
      </c>
      <c r="K61" s="25">
        <f>SUMIF(Funções!B$8:B$522,$G61,Funções!K$8:K$522)</f>
        <v/>
      </c>
      <c r="L61" s="19">
        <f>""&amp;G61</f>
        <v/>
      </c>
    </row>
    <row r="62" ht="13.8" customHeight="1">
      <c r="A62" s="26" t="n"/>
      <c r="B62" s="153" t="n"/>
      <c r="C62" s="44" t="n"/>
      <c r="D62" s="44" t="n"/>
      <c r="E62" s="182" t="n"/>
      <c r="F62" s="153" t="n"/>
      <c r="G62" s="24" t="inlineStr">
        <is>
          <t xml:space="preserve">           .</t>
        </is>
      </c>
      <c r="H62" s="158" t="n"/>
      <c r="I62" s="182" t="n"/>
      <c r="J62" s="27">
        <f>COUNTIF(Funções!B$8:B$522,G62)</f>
        <v/>
      </c>
      <c r="K62" s="25">
        <f>SUMIF(Funções!B$8:B$522,$G62,Funções!K$8:K$522)</f>
        <v/>
      </c>
      <c r="L62" s="19">
        <f>""&amp;G62</f>
        <v/>
      </c>
    </row>
    <row r="63" ht="13.8" customHeight="1">
      <c r="A63" s="26" t="n"/>
      <c r="B63" s="153" t="n"/>
      <c r="C63" s="44" t="n"/>
      <c r="D63" s="44" t="n"/>
      <c r="E63" s="182" t="n"/>
      <c r="F63" s="153" t="n"/>
      <c r="G63" s="24" t="inlineStr">
        <is>
          <t xml:space="preserve">           .</t>
        </is>
      </c>
      <c r="H63" s="158" t="n"/>
      <c r="I63" s="182" t="n"/>
      <c r="J63" s="27">
        <f>COUNTIF(Funções!B$8:B$522,G63)</f>
        <v/>
      </c>
      <c r="K63" s="25">
        <f>SUMIF(Funções!B$8:B$522,$G63,Funções!K$8:K$522)</f>
        <v/>
      </c>
      <c r="L63" s="19">
        <f>""&amp;G63</f>
        <v/>
      </c>
    </row>
    <row r="64" ht="13.8" customHeight="1">
      <c r="A64" s="28" t="n"/>
      <c r="B64" s="159" t="n"/>
      <c r="C64" s="215" t="n"/>
      <c r="D64" s="215" t="n"/>
      <c r="E64" s="216" t="n"/>
      <c r="F64" s="159" t="n"/>
      <c r="G64" s="30" t="inlineStr">
        <is>
          <t xml:space="preserve">           .</t>
        </is>
      </c>
      <c r="H64" s="160" t="n"/>
      <c r="I64" s="216" t="n"/>
      <c r="J64" s="31">
        <f>COUNTIF(Funções!B$8:B$522,G64)</f>
        <v/>
      </c>
      <c r="K64" s="32">
        <f>SUMIF(Funções!B$8:B$522,$G64,Funções!K$8:K$522)</f>
        <v/>
      </c>
      <c r="L64" s="19">
        <f>""&amp;G64</f>
        <v/>
      </c>
    </row>
  </sheetData>
  <mergeCells count="90">
    <mergeCell ref="H53:I53"/>
    <mergeCell ref="H55:I55"/>
    <mergeCell ref="B36:E36"/>
    <mergeCell ref="B45:E45"/>
    <mergeCell ref="B47:E47"/>
    <mergeCell ref="H52:I52"/>
    <mergeCell ref="B22:E22"/>
    <mergeCell ref="B31:E31"/>
    <mergeCell ref="B12:E12"/>
    <mergeCell ref="H45:I45"/>
    <mergeCell ref="B21:E21"/>
    <mergeCell ref="A40:F40"/>
    <mergeCell ref="B14:E14"/>
    <mergeCell ref="B23:E23"/>
    <mergeCell ref="B13:E13"/>
    <mergeCell ref="H62:I62"/>
    <mergeCell ref="B38:E38"/>
    <mergeCell ref="B49:E49"/>
    <mergeCell ref="H54:I54"/>
    <mergeCell ref="H63:I63"/>
    <mergeCell ref="B64:E64"/>
    <mergeCell ref="H50:I50"/>
    <mergeCell ref="B51:E51"/>
    <mergeCell ref="H56:I56"/>
    <mergeCell ref="A2:F2"/>
    <mergeCell ref="B26:E26"/>
    <mergeCell ref="B41:E41"/>
    <mergeCell ref="B63:E63"/>
    <mergeCell ref="B50:E50"/>
    <mergeCell ref="B16:E16"/>
    <mergeCell ref="H49:I49"/>
    <mergeCell ref="B25:E25"/>
    <mergeCell ref="B3:E3"/>
    <mergeCell ref="K40:K41"/>
    <mergeCell ref="K2:K3"/>
    <mergeCell ref="B18:E18"/>
    <mergeCell ref="B27:E27"/>
    <mergeCell ref="B11:E11"/>
    <mergeCell ref="B61:E61"/>
    <mergeCell ref="B53:E53"/>
    <mergeCell ref="H48:I48"/>
    <mergeCell ref="B29:E29"/>
    <mergeCell ref="B37:E37"/>
    <mergeCell ref="B6:E6"/>
    <mergeCell ref="H43:I43"/>
    <mergeCell ref="B15:E15"/>
    <mergeCell ref="B55:E55"/>
    <mergeCell ref="B24:E24"/>
    <mergeCell ref="H58:I58"/>
    <mergeCell ref="A1:K1"/>
    <mergeCell ref="J40:J41"/>
    <mergeCell ref="H60:I60"/>
    <mergeCell ref="B54:E54"/>
    <mergeCell ref="B7:E7"/>
    <mergeCell ref="B56:E56"/>
    <mergeCell ref="H2:I2"/>
    <mergeCell ref="B43:E43"/>
    <mergeCell ref="B58:E58"/>
    <mergeCell ref="B52:E52"/>
    <mergeCell ref="H57:I57"/>
    <mergeCell ref="B42:E42"/>
    <mergeCell ref="B60:E60"/>
    <mergeCell ref="B17:E17"/>
    <mergeCell ref="B57:E57"/>
    <mergeCell ref="H42:I42"/>
    <mergeCell ref="B44:E44"/>
    <mergeCell ref="B19:E19"/>
    <mergeCell ref="B28:E28"/>
    <mergeCell ref="G2:G3"/>
    <mergeCell ref="B9:E9"/>
    <mergeCell ref="B30:E30"/>
    <mergeCell ref="B5:E5"/>
    <mergeCell ref="B20:E20"/>
    <mergeCell ref="H44:I44"/>
    <mergeCell ref="H59:I59"/>
    <mergeCell ref="B4:E4"/>
    <mergeCell ref="H46:I46"/>
    <mergeCell ref="H64:I64"/>
    <mergeCell ref="B62:E62"/>
    <mergeCell ref="H51:I51"/>
    <mergeCell ref="B59:E59"/>
    <mergeCell ref="H61:I61"/>
    <mergeCell ref="B46:E46"/>
    <mergeCell ref="B48:E48"/>
    <mergeCell ref="H47:I47"/>
    <mergeCell ref="J2:J3"/>
    <mergeCell ref="B8:E8"/>
    <mergeCell ref="H40:I41"/>
    <mergeCell ref="B10:E10"/>
    <mergeCell ref="G40:G41"/>
  </mergeCells>
  <pageMargins left="0.7875" right="0.7875" top="1.023611111111111" bottom="1.023611111111111" header="0.5118055555555555" footer="0.7875"/>
  <pageSetup orientation="portrait" paperSize="9" scale="48" firstPageNumber="0" horizontalDpi="300" verticalDpi="300"/>
  <headerFooter alignWithMargins="0">
    <oddHeader/>
    <oddFooter>&amp;CPágina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4">
    <outlinePr summaryBelow="1" summaryRight="1"/>
    <pageSetUpPr/>
  </sheetPr>
  <dimension ref="A1:L52"/>
  <sheetViews>
    <sheetView showGridLines="0" view="pageBreakPreview" zoomScaleSheetLayoutView="100" workbookViewId="0">
      <pane ySplit="8" topLeftCell="A9" activePane="bottomLeft" state="frozen"/>
      <selection activeCell="B11" sqref="B11"/>
      <selection pane="bottomLeft" activeCell="A9" sqref="A9"/>
    </sheetView>
  </sheetViews>
  <sheetFormatPr baseColWidth="8" defaultColWidth="8.88671875" defaultRowHeight="13.2"/>
  <cols>
    <col width="2.88671875" customWidth="1" min="1" max="1"/>
    <col width="8.33203125" customWidth="1" min="2" max="2"/>
    <col width="11.44140625" customWidth="1" min="3" max="3"/>
    <col width="1.109375" customWidth="1" min="4" max="4"/>
    <col width="7.6640625" customWidth="1" min="5" max="5"/>
    <col width="5.88671875" customWidth="1" min="6" max="6"/>
    <col width="13.44140625" customWidth="1" min="7" max="7"/>
    <col width="8.44140625" customWidth="1" min="8" max="8"/>
    <col width="5.88671875" customWidth="1" min="9" max="9"/>
    <col width="11.44140625" customWidth="1" min="10" max="10"/>
    <col width="8.44140625" customWidth="1" min="11" max="11"/>
    <col width="6.44140625" customWidth="1" min="12" max="12"/>
  </cols>
  <sheetData>
    <row r="1">
      <c r="A1" s="156" t="inlineStr">
        <is>
          <t>Sumário da Contagem</t>
        </is>
      </c>
      <c r="B1" s="178" t="n"/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9" t="n"/>
    </row>
    <row r="2">
      <c r="A2" s="75" t="n"/>
      <c r="L2" s="76" t="n"/>
    </row>
    <row r="3">
      <c r="A3" s="180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181" t="n"/>
    </row>
    <row r="4">
      <c r="A4" s="173">
        <f>Contagem!A5&amp;" : "&amp;Contagem!F5</f>
        <v/>
      </c>
      <c r="B4" s="44" t="n"/>
      <c r="C4" s="44" t="n"/>
      <c r="D4" s="44" t="n"/>
      <c r="E4" s="182" t="n"/>
      <c r="F4" s="139">
        <f>Contagem!A8&amp;" : "&amp;Contagem!F8</f>
        <v/>
      </c>
      <c r="G4" s="44" t="n"/>
      <c r="H4" s="44" t="n"/>
      <c r="I4" s="44" t="n"/>
      <c r="J4" s="44" t="n"/>
      <c r="K4" s="44" t="n"/>
      <c r="L4" s="185" t="n"/>
    </row>
    <row r="5">
      <c r="A5" s="173">
        <f>Contagem!A9&amp;" : "&amp;Contagem!F9</f>
        <v/>
      </c>
      <c r="B5" s="44" t="n"/>
      <c r="C5" s="44" t="n"/>
      <c r="D5" s="44" t="n"/>
      <c r="E5" s="182" t="n"/>
      <c r="F5" s="139">
        <f>Contagem!A10&amp;" : "&amp;Contagem!F10</f>
        <v/>
      </c>
      <c r="G5" s="44" t="n"/>
      <c r="H5" s="44" t="n"/>
      <c r="I5" s="44" t="n"/>
      <c r="J5" s="44" t="n"/>
      <c r="K5" s="44" t="n"/>
      <c r="L5" s="185" t="n"/>
    </row>
    <row r="6">
      <c r="A6" s="173">
        <f>Contagem!A4&amp;" : "&amp;Contagem!F4</f>
        <v/>
      </c>
      <c r="B6" s="44" t="n"/>
      <c r="C6" s="44" t="n"/>
      <c r="D6" s="44" t="n"/>
      <c r="E6" s="182" t="n"/>
      <c r="F6" s="139">
        <f>"Tipo de Contagem : "&amp;Contagem!F6</f>
        <v/>
      </c>
      <c r="G6" s="44" t="n"/>
      <c r="H6" s="44" t="n"/>
      <c r="I6" s="44" t="n"/>
      <c r="J6" s="44" t="n"/>
      <c r="K6" s="44" t="n"/>
      <c r="L6" s="185" t="n"/>
    </row>
    <row r="7" ht="12.75" customHeight="1">
      <c r="A7" s="169" t="inlineStr">
        <is>
          <t>Tipo de Função</t>
        </is>
      </c>
      <c r="B7" s="205" t="n"/>
      <c r="C7" s="170" t="inlineStr">
        <is>
          <t>Complexidade Funcional</t>
        </is>
      </c>
      <c r="D7" s="205" t="n"/>
      <c r="E7" s="205" t="n"/>
      <c r="F7" s="205" t="n"/>
      <c r="G7" s="171" t="inlineStr">
        <is>
          <t>Total PF IFPUG por Complexidade</t>
        </is>
      </c>
      <c r="H7" s="171" t="inlineStr">
        <is>
          <t>%</t>
        </is>
      </c>
      <c r="I7" s="65" t="n"/>
      <c r="J7" s="171" t="inlineStr">
        <is>
          <t>Total PF Local FS por tipo de manutenção básica</t>
        </is>
      </c>
      <c r="K7" s="205" t="n"/>
      <c r="L7" s="172" t="inlineStr">
        <is>
          <t>%</t>
        </is>
      </c>
    </row>
    <row r="8">
      <c r="A8" s="180" t="n"/>
      <c r="B8" s="42" t="n"/>
      <c r="C8" s="42" t="n"/>
      <c r="D8" s="42" t="n"/>
      <c r="E8" s="42" t="n"/>
      <c r="F8" s="42" t="n"/>
      <c r="G8" s="42" t="n"/>
      <c r="H8" s="42" t="n"/>
      <c r="I8" s="66" t="n"/>
      <c r="J8" s="42" t="n"/>
      <c r="K8" s="42" t="n"/>
      <c r="L8" s="181" t="n"/>
    </row>
    <row r="9" ht="6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7" t="n"/>
    </row>
    <row r="10" ht="13.8" customHeight="1">
      <c r="A10" s="48" t="n"/>
      <c r="B10" s="49" t="inlineStr">
        <is>
          <t>EE</t>
        </is>
      </c>
      <c r="C10" s="50">
        <f>COUNTIF(Funções!G8:G522,"EEL")</f>
        <v/>
      </c>
      <c r="D10" s="49" t="n"/>
      <c r="E10" s="51" t="inlineStr">
        <is>
          <t>Baixa</t>
        </is>
      </c>
      <c r="F10" s="51" t="inlineStr">
        <is>
          <t>x 3</t>
        </is>
      </c>
      <c r="G10" s="50">
        <f>C10*3</f>
        <v/>
      </c>
      <c r="H10" s="49" t="n"/>
      <c r="I10" s="217" t="n"/>
      <c r="J10" s="52">
        <f>Deflatores!$G$4&amp;"="</f>
        <v/>
      </c>
      <c r="K10" s="53">
        <f>SUMIF(Funções!$J$8:$J$522,"EE"&amp;Deflatores!G4,Funções!$L$8:$L$522)</f>
        <v/>
      </c>
      <c r="L10" s="54" t="n"/>
    </row>
    <row r="11" ht="13.8" customHeight="1">
      <c r="A11" s="55" t="n"/>
      <c r="B11" s="49" t="n"/>
      <c r="C11" s="50">
        <f>COUNTIF(Funções!G8:G522,"EEA")</f>
        <v/>
      </c>
      <c r="D11" s="49" t="n"/>
      <c r="E11" s="51" t="inlineStr">
        <is>
          <t>Média</t>
        </is>
      </c>
      <c r="F11" s="51" t="inlineStr">
        <is>
          <t>x 4</t>
        </is>
      </c>
      <c r="G11" s="50">
        <f>C11*4</f>
        <v/>
      </c>
      <c r="H11" s="49" t="n"/>
      <c r="I11" s="217" t="n"/>
      <c r="J11" s="52">
        <f>Deflatores!$G$5&amp;"="</f>
        <v/>
      </c>
      <c r="K11" s="53">
        <f>SUMIF(Funções!$J$8:$J$522,"EE"&amp;Deflatores!G5,Funções!$L$8:$L$522)</f>
        <v/>
      </c>
      <c r="L11" s="54" t="n"/>
    </row>
    <row r="12" ht="13.8" customHeight="1">
      <c r="A12" s="55" t="n"/>
      <c r="B12" s="49" t="n"/>
      <c r="C12" s="50">
        <f>COUNTIF(Funções!G8:G522,"EEH")</f>
        <v/>
      </c>
      <c r="D12" s="49" t="n"/>
      <c r="E12" s="51" t="inlineStr">
        <is>
          <t>Alta</t>
        </is>
      </c>
      <c r="F12" s="51" t="inlineStr">
        <is>
          <t>x 6</t>
        </is>
      </c>
      <c r="G12" s="50">
        <f>C12*6</f>
        <v/>
      </c>
      <c r="H12" s="49" t="n"/>
      <c r="I12" s="217" t="n"/>
      <c r="J12" s="52">
        <f>Deflatores!$G$6&amp;"="</f>
        <v/>
      </c>
      <c r="K12" s="53">
        <f>SUMIF(Funções!$J$8:$J$522,"EE"&amp;Deflatores!G6,Funções!$L$8:$L$522)</f>
        <v/>
      </c>
      <c r="L12" s="56" t="n"/>
    </row>
    <row r="13" ht="13.8" customHeight="1">
      <c r="A13" s="55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57" t="n"/>
      <c r="L13" s="54" t="n"/>
    </row>
    <row r="14" ht="13.8" customHeight="1">
      <c r="A14" s="55" t="n"/>
      <c r="B14" s="58" t="inlineStr">
        <is>
          <t>Qtd Total</t>
        </is>
      </c>
      <c r="C14" s="50">
        <f>SUM(C10:C12)</f>
        <v/>
      </c>
      <c r="D14" s="49" t="n"/>
      <c r="E14" s="49" t="n"/>
      <c r="F14" s="58" t="inlineStr">
        <is>
          <t>Total</t>
        </is>
      </c>
      <c r="G14" s="50">
        <f>SUM(G10:G12)</f>
        <v/>
      </c>
      <c r="H14" s="217">
        <f>IF($G$45&lt;&gt;0,G14/$G$45,"")</f>
        <v/>
      </c>
      <c r="J14" s="52" t="n"/>
      <c r="K14" s="53">
        <f>SUM(K10:K13)</f>
        <v/>
      </c>
      <c r="L14" s="218">
        <f>IF('Sumário 2'!L11&lt;&gt;0,K14/'Sumário 2'!L11,"")</f>
        <v/>
      </c>
    </row>
    <row r="15" ht="6" customHeight="1">
      <c r="A15" s="59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60" t="n"/>
    </row>
    <row r="16" ht="6" customHeight="1">
      <c r="A16" s="55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54" t="n"/>
    </row>
    <row r="17" ht="13.8" customHeight="1">
      <c r="A17" s="55" t="n"/>
      <c r="B17" s="49" t="inlineStr">
        <is>
          <t>SE</t>
        </is>
      </c>
      <c r="C17" s="52">
        <f>COUNTIF(Funções!G8:G522,"SEL")</f>
        <v/>
      </c>
      <c r="D17" s="49" t="n"/>
      <c r="E17" s="51" t="inlineStr">
        <is>
          <t>Baixa</t>
        </is>
      </c>
      <c r="F17" s="51" t="inlineStr">
        <is>
          <t>x 4</t>
        </is>
      </c>
      <c r="G17" s="52">
        <f>C17*4</f>
        <v/>
      </c>
      <c r="H17" s="49" t="n"/>
      <c r="I17" s="49" t="n"/>
      <c r="J17" s="52">
        <f>Deflatores!$G$4&amp;"="</f>
        <v/>
      </c>
      <c r="K17" s="61">
        <f>SUMIF(Funções!$J$8:$J$522,"SE"&amp;Deflatores!$G$4,Funções!$L$8:$L$522)</f>
        <v/>
      </c>
      <c r="L17" s="54" t="n"/>
    </row>
    <row r="18" ht="13.8" customHeight="1">
      <c r="A18" s="55" t="n"/>
      <c r="B18" s="49" t="n"/>
      <c r="C18" s="52">
        <f>COUNTIF(Funções!G8:G522,"SEA")</f>
        <v/>
      </c>
      <c r="D18" s="49" t="n"/>
      <c r="E18" s="51" t="inlineStr">
        <is>
          <t>Média</t>
        </is>
      </c>
      <c r="F18" s="51" t="inlineStr">
        <is>
          <t>x 5</t>
        </is>
      </c>
      <c r="G18" s="52">
        <f>C18*5</f>
        <v/>
      </c>
      <c r="H18" s="49" t="n"/>
      <c r="I18" s="49" t="n"/>
      <c r="J18" s="52">
        <f>Deflatores!$G$5&amp;"="</f>
        <v/>
      </c>
      <c r="K18" s="61">
        <f>SUMIF(Funções!$J$8:$J$522,"SE"&amp;Deflatores!$G$5,Funções!$L$8:$L$522)</f>
        <v/>
      </c>
      <c r="L18" s="54" t="n"/>
    </row>
    <row r="19" ht="13.8" customHeight="1">
      <c r="A19" s="55" t="n"/>
      <c r="B19" s="49" t="n"/>
      <c r="C19" s="52">
        <f>COUNTIF(Funções!G8:G522,"SEH")</f>
        <v/>
      </c>
      <c r="D19" s="49" t="n"/>
      <c r="E19" s="51" t="inlineStr">
        <is>
          <t>Alta</t>
        </is>
      </c>
      <c r="F19" s="51" t="inlineStr">
        <is>
          <t>x 7</t>
        </is>
      </c>
      <c r="G19" s="52">
        <f>C19*7</f>
        <v/>
      </c>
      <c r="H19" s="49" t="n"/>
      <c r="I19" s="49" t="n"/>
      <c r="J19" s="52">
        <f>Deflatores!$G$6&amp;"="</f>
        <v/>
      </c>
      <c r="K19" s="61">
        <f>SUMIF(Funções!$J$8:$J$522,"SE"&amp;Deflatores!$G$6,Funções!$L$8:$L$522)</f>
        <v/>
      </c>
      <c r="L19" s="56" t="n"/>
    </row>
    <row r="20" ht="13.8" customHeight="1">
      <c r="A20" s="55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57" t="n"/>
      <c r="L20" s="54" t="n"/>
    </row>
    <row r="21" ht="13.8" customHeight="1">
      <c r="A21" s="55" t="n"/>
      <c r="B21" s="58" t="inlineStr">
        <is>
          <t>Qtd Total</t>
        </is>
      </c>
      <c r="C21" s="50">
        <f>SUM(C17:C19)</f>
        <v/>
      </c>
      <c r="D21" s="49" t="n"/>
      <c r="E21" s="49" t="n"/>
      <c r="F21" s="58" t="inlineStr">
        <is>
          <t>Total</t>
        </is>
      </c>
      <c r="G21" s="50">
        <f>SUM(G17:G19)</f>
        <v/>
      </c>
      <c r="H21" s="217">
        <f>IF($G$45&lt;&gt;0,G21/$G$45,"")</f>
        <v/>
      </c>
      <c r="J21" s="52" t="n"/>
      <c r="K21" s="53">
        <f>SUM(K17:K20)</f>
        <v/>
      </c>
      <c r="L21" s="218">
        <f>IF('Sumário 2'!L11&lt;&gt;0,K21/'Sumário 2'!L11,"")</f>
        <v/>
      </c>
    </row>
    <row r="22" ht="6" customHeight="1">
      <c r="A22" s="59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60" t="n"/>
    </row>
    <row r="23" ht="6" customHeight="1">
      <c r="A23" s="45" t="n"/>
      <c r="B23" s="46" t="n"/>
      <c r="C23" s="49" t="n"/>
      <c r="D23" s="46" t="n"/>
      <c r="E23" s="46" t="n"/>
      <c r="F23" s="46" t="n"/>
      <c r="G23" s="49" t="n"/>
      <c r="H23" s="46" t="n"/>
      <c r="I23" s="46" t="n"/>
      <c r="J23" s="46" t="n"/>
      <c r="K23" s="46" t="n"/>
      <c r="L23" s="47" t="n"/>
    </row>
    <row r="24" ht="13.8" customHeight="1">
      <c r="A24" s="55" t="n"/>
      <c r="B24" s="49" t="inlineStr">
        <is>
          <t>CE</t>
        </is>
      </c>
      <c r="C24" s="50">
        <f>COUNTIF(Funções!G8:G522,"CEL")</f>
        <v/>
      </c>
      <c r="D24" s="49" t="n"/>
      <c r="E24" s="51" t="inlineStr">
        <is>
          <t>Baixa</t>
        </is>
      </c>
      <c r="F24" s="51" t="inlineStr">
        <is>
          <t>x 3</t>
        </is>
      </c>
      <c r="G24" s="50">
        <f>C24*3</f>
        <v/>
      </c>
      <c r="H24" s="49" t="n"/>
      <c r="I24" s="49" t="n"/>
      <c r="J24" s="52">
        <f>Deflatores!$G$4&amp;"="</f>
        <v/>
      </c>
      <c r="K24" s="53">
        <f>SUMIF(Funções!$J$8:$J$522,"CE"&amp;Deflatores!$G$4,Funções!$L$8:$L$522)</f>
        <v/>
      </c>
      <c r="L24" s="54" t="n"/>
    </row>
    <row r="25" ht="13.8" customHeight="1">
      <c r="A25" s="55" t="n"/>
      <c r="B25" s="49" t="n"/>
      <c r="C25" s="50">
        <f>COUNTIF(Funções!G8:G522,"CEA")</f>
        <v/>
      </c>
      <c r="D25" s="49" t="n"/>
      <c r="E25" s="51" t="inlineStr">
        <is>
          <t>Média</t>
        </is>
      </c>
      <c r="F25" s="51" t="inlineStr">
        <is>
          <t>x 4</t>
        </is>
      </c>
      <c r="G25" s="50">
        <f>C25*4</f>
        <v/>
      </c>
      <c r="H25" s="49" t="n"/>
      <c r="I25" s="49" t="n"/>
      <c r="J25" s="52">
        <f>Deflatores!$G$5&amp;"="</f>
        <v/>
      </c>
      <c r="K25" s="53">
        <f>SUMIF(Funções!$J$8:$J$522,"CE"&amp;Deflatores!$G$5,Funções!$L$8:$L$522)</f>
        <v/>
      </c>
      <c r="L25" s="54" t="n"/>
    </row>
    <row r="26" ht="13.8" customHeight="1">
      <c r="A26" s="55" t="n"/>
      <c r="B26" s="49" t="n"/>
      <c r="C26" s="50">
        <f>COUNTIF(Funções!G8:G522,"CEH")</f>
        <v/>
      </c>
      <c r="D26" s="49" t="n"/>
      <c r="E26" s="51" t="inlineStr">
        <is>
          <t>Alta</t>
        </is>
      </c>
      <c r="F26" s="51" t="inlineStr">
        <is>
          <t>x 6</t>
        </is>
      </c>
      <c r="G26" s="50">
        <f>C26*6</f>
        <v/>
      </c>
      <c r="H26" s="49" t="n"/>
      <c r="I26" s="49" t="n"/>
      <c r="J26" s="52">
        <f>Deflatores!$G$6&amp;"="</f>
        <v/>
      </c>
      <c r="K26" s="53">
        <f>SUMIF(Funções!$J$8:$J$522,"CE"&amp;Deflatores!$G$6,Funções!$L$8:$L$522)</f>
        <v/>
      </c>
      <c r="L26" s="56" t="n"/>
    </row>
    <row r="27" ht="13.8" customHeight="1">
      <c r="A27" s="55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7" t="n"/>
      <c r="L27" s="54" t="n"/>
    </row>
    <row r="28" ht="13.8" customHeight="1">
      <c r="A28" s="55" t="n"/>
      <c r="B28" s="58" t="inlineStr">
        <is>
          <t>Qtd Total</t>
        </is>
      </c>
      <c r="C28" s="50">
        <f>SUM(C24:C26)</f>
        <v/>
      </c>
      <c r="D28" s="49" t="n"/>
      <c r="E28" s="49" t="n"/>
      <c r="F28" s="58" t="inlineStr">
        <is>
          <t>Total</t>
        </is>
      </c>
      <c r="G28" s="50">
        <f>SUM(G24:G26)</f>
        <v/>
      </c>
      <c r="H28" s="217">
        <f>IF($G$45&lt;&gt;0,G28/$G$45,"")</f>
        <v/>
      </c>
      <c r="J28" s="52" t="n"/>
      <c r="K28" s="53">
        <f>SUM(K24:K27)</f>
        <v/>
      </c>
      <c r="L28" s="218">
        <f>IF('Sumário 2'!L11&lt;&gt;0,K28/'Sumário 2'!L11,"")</f>
        <v/>
      </c>
    </row>
    <row r="29" ht="6" customHeight="1">
      <c r="A29" s="59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60" t="n"/>
    </row>
    <row r="30" ht="6" customHeight="1">
      <c r="A30" s="45" t="n"/>
      <c r="B30" s="46" t="n"/>
      <c r="C30" s="49" t="n"/>
      <c r="D30" s="46" t="n"/>
      <c r="E30" s="46" t="n"/>
      <c r="F30" s="46" t="n"/>
      <c r="G30" s="49" t="n"/>
      <c r="H30" s="46" t="n"/>
      <c r="I30" s="46" t="n"/>
      <c r="J30" s="46" t="n"/>
      <c r="K30" s="46" t="n"/>
      <c r="L30" s="47" t="n"/>
    </row>
    <row r="31" ht="13.8" customHeight="1">
      <c r="A31" s="55" t="n"/>
      <c r="B31" s="49" t="inlineStr">
        <is>
          <t>ALI</t>
        </is>
      </c>
      <c r="C31" s="50">
        <f>COUNTIF(Funções!G8:G522,"ALIL")</f>
        <v/>
      </c>
      <c r="D31" s="49" t="n"/>
      <c r="E31" s="49" t="inlineStr">
        <is>
          <t>Baixa</t>
        </is>
      </c>
      <c r="F31" s="49" t="inlineStr">
        <is>
          <t>x 7</t>
        </is>
      </c>
      <c r="G31" s="50">
        <f>C31*7</f>
        <v/>
      </c>
      <c r="H31" s="49" t="n"/>
      <c r="I31" s="49" t="n"/>
      <c r="J31" s="52">
        <f>Deflatores!$G$4&amp;"="</f>
        <v/>
      </c>
      <c r="K31" s="53">
        <f>SUMIF(Funções!$J$8:$J$522,"ALI"&amp;Deflatores!$G$4,Funções!$L$8:$L$522)</f>
        <v/>
      </c>
      <c r="L31" s="54" t="n"/>
    </row>
    <row r="32" ht="13.8" customHeight="1">
      <c r="A32" s="55" t="n"/>
      <c r="B32" s="49" t="n"/>
      <c r="C32" s="50">
        <f>COUNTIF(Funções!G8:G522,"ALIA")</f>
        <v/>
      </c>
      <c r="D32" s="49" t="n"/>
      <c r="E32" s="49" t="inlineStr">
        <is>
          <t>Média</t>
        </is>
      </c>
      <c r="F32" s="49" t="inlineStr">
        <is>
          <t>x 10</t>
        </is>
      </c>
      <c r="G32" s="50">
        <f>C32*10</f>
        <v/>
      </c>
      <c r="H32" s="49" t="n"/>
      <c r="I32" s="49" t="n"/>
      <c r="J32" s="52">
        <f>Deflatores!$G$5&amp;"="</f>
        <v/>
      </c>
      <c r="K32" s="53">
        <f>SUMIF(Funções!$J$8:$J$522,"ALI"&amp;Deflatores!$G$5,Funções!$L$8:$L$522)</f>
        <v/>
      </c>
      <c r="L32" s="54" t="n"/>
    </row>
    <row r="33" ht="13.8" customHeight="1">
      <c r="A33" s="55" t="n"/>
      <c r="B33" s="49" t="n"/>
      <c r="C33" s="50">
        <f>COUNTIF(Funções!G8:G522,"ALIH")</f>
        <v/>
      </c>
      <c r="D33" s="49" t="n"/>
      <c r="E33" s="49" t="inlineStr">
        <is>
          <t>Alta</t>
        </is>
      </c>
      <c r="F33" s="49" t="inlineStr">
        <is>
          <t>x 15</t>
        </is>
      </c>
      <c r="G33" s="50">
        <f>C33*15</f>
        <v/>
      </c>
      <c r="H33" s="49" t="n"/>
      <c r="I33" s="49" t="n"/>
      <c r="J33" s="52">
        <f>Deflatores!$G$6&amp;"="</f>
        <v/>
      </c>
      <c r="K33" s="53">
        <f>SUMIF(Funções!$J$8:$J$522,"ALI"&amp;Deflatores!$G$6,Funções!$L$8:$L$522)</f>
        <v/>
      </c>
      <c r="L33" s="56" t="n"/>
    </row>
    <row r="34" ht="13.8" customHeight="1">
      <c r="A34" s="55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7" t="n"/>
      <c r="L34" s="54" t="n"/>
    </row>
    <row r="35" ht="13.8" customHeight="1">
      <c r="A35" s="55" t="n"/>
      <c r="B35" s="58" t="inlineStr">
        <is>
          <t>Qtd Total</t>
        </is>
      </c>
      <c r="C35" s="50">
        <f>SUM(C31:C33)</f>
        <v/>
      </c>
      <c r="D35" s="49" t="n"/>
      <c r="E35" s="49" t="n"/>
      <c r="F35" s="58" t="inlineStr">
        <is>
          <t>Total</t>
        </is>
      </c>
      <c r="G35" s="50">
        <f>SUM(G31:G33)</f>
        <v/>
      </c>
      <c r="H35" s="217">
        <f>IF($G$45&lt;&gt;0,G35/$G$45,"")</f>
        <v/>
      </c>
      <c r="J35" s="52" t="n"/>
      <c r="K35" s="53">
        <f>SUM(K31:K34)</f>
        <v/>
      </c>
      <c r="L35" s="218">
        <f>IF('Sumário 2'!L11&lt;&gt;0,K35/'Sumário 2'!L11,"")</f>
        <v/>
      </c>
    </row>
    <row r="36" ht="6" customHeight="1">
      <c r="A36" s="59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60" t="n"/>
    </row>
    <row r="37" ht="6" customHeight="1">
      <c r="A37" s="45" t="n"/>
      <c r="B37" s="46" t="n"/>
      <c r="C37" s="49" t="n"/>
      <c r="D37" s="46" t="n"/>
      <c r="E37" s="46" t="n"/>
      <c r="F37" s="46" t="n"/>
      <c r="G37" s="49" t="n"/>
      <c r="H37" s="46" t="n"/>
      <c r="I37" s="46" t="n"/>
      <c r="J37" s="46" t="n"/>
      <c r="K37" s="46" t="n"/>
      <c r="L37" s="47" t="n"/>
    </row>
    <row r="38" ht="13.8" customHeight="1">
      <c r="A38" s="55" t="n"/>
      <c r="B38" s="49" t="inlineStr">
        <is>
          <t>AIE</t>
        </is>
      </c>
      <c r="C38" s="50">
        <f>COUNTIF(Funções!G8:G522,"AIEL")</f>
        <v/>
      </c>
      <c r="D38" s="49" t="n"/>
      <c r="E38" s="49" t="inlineStr">
        <is>
          <t>Baixa</t>
        </is>
      </c>
      <c r="F38" s="49" t="inlineStr">
        <is>
          <t>x 5</t>
        </is>
      </c>
      <c r="G38" s="50">
        <f>C38*5</f>
        <v/>
      </c>
      <c r="H38" s="49" t="n"/>
      <c r="I38" s="49" t="n"/>
      <c r="J38" s="52">
        <f>Deflatores!$G$4&amp;"="</f>
        <v/>
      </c>
      <c r="K38" s="53">
        <f>SUMIF(Funções!$J$8:$J$522,"AIE"&amp;Deflatores!$G$4,Funções!$L$8:$L$522)</f>
        <v/>
      </c>
      <c r="L38" s="54" t="n"/>
    </row>
    <row r="39" ht="13.8" customHeight="1">
      <c r="A39" s="55" t="n"/>
      <c r="B39" s="49" t="n"/>
      <c r="C39" s="50">
        <f>COUNTIF(Funções!G8:G522,"AIEA")</f>
        <v/>
      </c>
      <c r="D39" s="49" t="n"/>
      <c r="E39" s="49" t="inlineStr">
        <is>
          <t>Média</t>
        </is>
      </c>
      <c r="F39" s="49" t="inlineStr">
        <is>
          <t>x 7</t>
        </is>
      </c>
      <c r="G39" s="50">
        <f>C39*7</f>
        <v/>
      </c>
      <c r="H39" s="49" t="n"/>
      <c r="I39" s="49" t="n"/>
      <c r="J39" s="52">
        <f>Deflatores!$G$5&amp;"="</f>
        <v/>
      </c>
      <c r="K39" s="53">
        <f>SUMIF(Funções!$J$8:$J$522,"AIE"&amp;Deflatores!$G$5,Funções!$L$8:$L$522)</f>
        <v/>
      </c>
      <c r="L39" s="54" t="n"/>
    </row>
    <row r="40" ht="13.8" customHeight="1">
      <c r="A40" s="55" t="n"/>
      <c r="B40" s="49" t="n"/>
      <c r="C40" s="50">
        <f>COUNTIF(Funções!G8:G522,"AIEH")</f>
        <v/>
      </c>
      <c r="D40" s="49" t="n"/>
      <c r="E40" s="49" t="inlineStr">
        <is>
          <t>Alta</t>
        </is>
      </c>
      <c r="F40" s="49" t="inlineStr">
        <is>
          <t>x 10</t>
        </is>
      </c>
      <c r="G40" s="50">
        <f>C40*10</f>
        <v/>
      </c>
      <c r="H40" s="49" t="n"/>
      <c r="I40" s="49" t="n"/>
      <c r="J40" s="52">
        <f>Deflatores!$G$6&amp;"="</f>
        <v/>
      </c>
      <c r="K40" s="53">
        <f>SUMIF(Funções!$J$8:$J$522,"AIE"&amp;Deflatores!$G$6,Funções!$L$8:$L$522)</f>
        <v/>
      </c>
      <c r="L40" s="56" t="n"/>
    </row>
    <row r="41" ht="13.8" customHeight="1">
      <c r="A41" s="55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7" t="n"/>
      <c r="L41" s="54" t="n"/>
    </row>
    <row r="42" ht="13.8" customHeight="1">
      <c r="A42" s="55" t="n"/>
      <c r="B42" s="58" t="inlineStr">
        <is>
          <t>Qtd Total</t>
        </is>
      </c>
      <c r="C42" s="50">
        <f>SUM(C38:C40)</f>
        <v/>
      </c>
      <c r="D42" s="49" t="n"/>
      <c r="E42" s="49" t="n"/>
      <c r="F42" s="58" t="inlineStr">
        <is>
          <t>Total</t>
        </is>
      </c>
      <c r="G42" s="50">
        <f>SUM(G38:G40)</f>
        <v/>
      </c>
      <c r="H42" s="217">
        <f>IF($G$45&lt;&gt;0,G42/$G$45,"")</f>
        <v/>
      </c>
      <c r="J42" s="52" t="n"/>
      <c r="K42" s="53">
        <f>SUM(K38:K41)</f>
        <v/>
      </c>
      <c r="L42" s="218">
        <f>IF('Sumário 2'!L11&lt;&gt;0,K42/'Sumário 2'!L11,"")</f>
        <v/>
      </c>
    </row>
    <row r="43" ht="6" customHeight="1">
      <c r="A43" s="59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60" t="n"/>
    </row>
    <row r="44" ht="6" customHeight="1">
      <c r="A44" s="55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54" t="n"/>
    </row>
    <row r="45" ht="13.8" customHeight="1">
      <c r="A45" s="55" t="n"/>
      <c r="B45" s="168" t="inlineStr">
        <is>
          <t>Total PF não ajustados (contagem detalhada)</t>
        </is>
      </c>
      <c r="G45" s="50">
        <f>SUM(G14+G21+G28+G35+G42)</f>
        <v/>
      </c>
      <c r="H45" s="49" t="n"/>
      <c r="I45" s="49" t="n"/>
      <c r="J45" s="49" t="n"/>
      <c r="K45" s="49" t="n"/>
      <c r="L45" s="54" t="n"/>
    </row>
    <row r="46" ht="13.8" customHeight="1">
      <c r="A46" s="55" t="n"/>
      <c r="B46" s="168" t="inlineStr">
        <is>
          <t>Total PF não ajustados (contagem estimativa)</t>
        </is>
      </c>
      <c r="G46" s="50">
        <f>(C10+C11+C12)*4+(C17+C18+C19)*5+(C24+C25+C26)*4+(C31+C32+C33)*7+(C38+C39+C40)*5</f>
        <v/>
      </c>
      <c r="H46" s="49" t="n"/>
      <c r="I46" s="49" t="n"/>
      <c r="J46" s="49" t="n"/>
      <c r="K46" s="49" t="n"/>
      <c r="L46" s="54" t="n"/>
    </row>
    <row r="47" ht="13.8" customHeight="1">
      <c r="A47" s="55" t="n"/>
      <c r="B47" s="168" t="inlineStr">
        <is>
          <t>Total PF não ajustados (contagem indicativa)</t>
        </is>
      </c>
      <c r="G47" s="50">
        <f>(C31+C32+C33)*35+(C38+C39+C40)*15</f>
        <v/>
      </c>
      <c r="H47" s="49" t="n"/>
      <c r="I47" s="49" t="n"/>
      <c r="J47" s="49" t="n"/>
      <c r="K47" s="49" t="n"/>
      <c r="L47" s="54" t="n"/>
    </row>
    <row r="48" ht="13.8" customHeight="1">
      <c r="A48" s="55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54" t="n"/>
    </row>
    <row r="49" ht="13.8" customHeight="1">
      <c r="A49" s="55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54" t="n"/>
    </row>
    <row r="50" ht="13.8" customHeight="1">
      <c r="A50" s="55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54" t="n"/>
    </row>
    <row r="51" ht="13.8" customHeight="1">
      <c r="A51" s="55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54" t="n"/>
    </row>
    <row r="52" ht="13.8" customHeight="1">
      <c r="A52" s="62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4" t="n"/>
    </row>
  </sheetData>
  <mergeCells count="16">
    <mergeCell ref="F6:L6"/>
    <mergeCell ref="A4:E4"/>
    <mergeCell ref="B47:F47"/>
    <mergeCell ref="A7:B8"/>
    <mergeCell ref="F4:L4"/>
    <mergeCell ref="J7:K8"/>
    <mergeCell ref="G7:G8"/>
    <mergeCell ref="A1:L3"/>
    <mergeCell ref="A5:E5"/>
    <mergeCell ref="H7:H8"/>
    <mergeCell ref="B45:F45"/>
    <mergeCell ref="L7:L8"/>
    <mergeCell ref="B46:F46"/>
    <mergeCell ref="A6:E6"/>
    <mergeCell ref="C7:F8"/>
    <mergeCell ref="F5:L5"/>
  </mergeCells>
  <pageMargins left="0.5118055555555555" right="0.5118055555555555" top="0.7875" bottom="0.7875" header="0.5118055555555555" footer="0.3152777777777778"/>
  <pageSetup orientation="portrait" paperSize="9" firstPageNumber="0" horizontalDpi="300" verticalDpi="300"/>
  <headerFooter alignWithMargins="0">
    <oddHeader/>
    <oddFooter>&amp;CPágina &amp;P de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Plan5">
    <outlinePr summaryBelow="1" summaryRight="1"/>
    <pageSetUpPr/>
  </sheetPr>
  <dimension ref="A1:M70"/>
  <sheetViews>
    <sheetView showGridLines="0" view="pageBreakPreview" zoomScaleSheetLayoutView="100" workbookViewId="0">
      <pane ySplit="6" topLeftCell="A12" activePane="bottomLeft" state="frozen"/>
      <selection activeCell="B11" sqref="B11"/>
      <selection pane="bottomLeft" activeCell="B20" sqref="B20:C20"/>
    </sheetView>
  </sheetViews>
  <sheetFormatPr baseColWidth="8" defaultColWidth="11.44140625" defaultRowHeight="13.2"/>
  <cols>
    <col width="3.109375" customWidth="1" min="1" max="1"/>
    <col width="32.44140625" customWidth="1" min="2" max="2"/>
    <col width="36.44140625" customWidth="1" min="3" max="3"/>
    <col width="7" customWidth="1" min="4" max="4"/>
    <col width="9.88671875" customWidth="1" min="5" max="5"/>
    <col width="9.33203125" customWidth="1" min="6" max="6"/>
    <col width="12.33203125" customWidth="1" min="7" max="8"/>
    <col width="12.44140625" customWidth="1" min="9" max="9"/>
    <col width="7.44140625" customWidth="1" min="10" max="10"/>
    <col width="2.109375" customWidth="1" min="11" max="11"/>
    <col width="13.44140625" customWidth="1" min="12" max="12"/>
    <col width="1.88671875" customWidth="1" min="13" max="13"/>
  </cols>
  <sheetData>
    <row r="1">
      <c r="A1" s="156" t="inlineStr">
        <is>
          <t>Sumário por Deflatores e Itens não mensuráveis</t>
        </is>
      </c>
      <c r="B1" s="178" t="n"/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9" t="n"/>
    </row>
    <row r="2">
      <c r="A2" s="75" t="n"/>
      <c r="M2" s="76" t="n"/>
    </row>
    <row r="3">
      <c r="A3" s="180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181" t="n"/>
    </row>
    <row r="4">
      <c r="A4" s="173">
        <f>Contagem!A5&amp;" : "&amp;Contagem!F5</f>
        <v/>
      </c>
      <c r="B4" s="44" t="n"/>
      <c r="C4" s="44" t="n"/>
      <c r="D4" s="44" t="n"/>
      <c r="E4" s="182" t="n"/>
      <c r="F4" s="139">
        <f>Contagem!A8&amp;" : "&amp;Contagem!F8</f>
        <v/>
      </c>
      <c r="G4" s="44" t="n"/>
      <c r="H4" s="44" t="n"/>
      <c r="I4" s="44" t="n"/>
      <c r="J4" s="44" t="n"/>
      <c r="K4" s="44" t="n"/>
      <c r="L4" s="44" t="n"/>
      <c r="M4" s="185" t="n"/>
    </row>
    <row r="5">
      <c r="A5" s="175">
        <f>Contagem!A9&amp;" : "&amp;Contagem!F9</f>
        <v/>
      </c>
      <c r="B5" s="44" t="n"/>
      <c r="C5" s="44" t="n"/>
      <c r="D5" s="44" t="n"/>
      <c r="E5" s="44" t="n"/>
      <c r="F5" s="139">
        <f>Contagem!A10&amp;" : "&amp;Contagem!F10</f>
        <v/>
      </c>
      <c r="G5" s="44" t="n"/>
      <c r="H5" s="44" t="n"/>
      <c r="I5" s="44" t="n"/>
      <c r="J5" s="44" t="n"/>
      <c r="K5" s="44" t="n"/>
      <c r="L5" s="44" t="n"/>
      <c r="M5" s="185" t="n"/>
    </row>
    <row r="6">
      <c r="A6" s="175">
        <f>Contagem!A4&amp;" : "&amp;Contagem!F4</f>
        <v/>
      </c>
      <c r="B6" s="44" t="n"/>
      <c r="C6" s="44" t="n"/>
      <c r="D6" s="44" t="n"/>
      <c r="E6" s="44" t="n"/>
      <c r="F6" s="139">
        <f>"Tipo de Contagem : "&amp;Contagem!F6</f>
        <v/>
      </c>
      <c r="G6" s="44" t="n"/>
      <c r="H6" s="44" t="n"/>
      <c r="I6" s="44" t="n"/>
      <c r="J6" s="44" t="n"/>
      <c r="K6" s="44" t="n"/>
      <c r="L6" s="44" t="n"/>
      <c r="M6" s="185" t="n"/>
    </row>
    <row r="7">
      <c r="A7" s="75" t="n"/>
      <c r="M7" s="76" t="n"/>
    </row>
    <row r="8" ht="13.8" customHeight="1">
      <c r="A8" s="75" t="n"/>
      <c r="B8" s="176" t="n"/>
      <c r="M8" s="76" t="n"/>
    </row>
    <row r="9" ht="13.8" customHeight="1">
      <c r="A9" s="75" t="n"/>
      <c r="B9" s="177" t="inlineStr">
        <is>
          <t>Deflatores aplicados a Itens Funcionais</t>
        </is>
      </c>
      <c r="E9" s="35" t="inlineStr">
        <is>
          <t>Quantidade</t>
        </is>
      </c>
      <c r="F9" s="35" t="inlineStr">
        <is>
          <t>PF IFPUG</t>
        </is>
      </c>
      <c r="G9" s="35" t="inlineStr">
        <is>
          <t>Deflator</t>
        </is>
      </c>
      <c r="H9" s="35" t="inlineStr">
        <is>
          <t>Contrib. Fixa</t>
        </is>
      </c>
      <c r="I9" s="35" t="inlineStr">
        <is>
          <t>PF Local da FS</t>
        </is>
      </c>
      <c r="J9" s="35" t="inlineStr">
        <is>
          <t>% LOCAL</t>
        </is>
      </c>
      <c r="M9" s="76" t="n"/>
    </row>
    <row r="10" ht="13.5" customHeight="1">
      <c r="A10" s="75" t="n"/>
      <c r="B10" s="153">
        <f>""&amp;Deflatores!B4</f>
        <v/>
      </c>
      <c r="C10" s="182" t="n"/>
      <c r="D10" s="24">
        <f>""&amp;Deflatores!G4</f>
        <v/>
      </c>
      <c r="E10" s="97">
        <f>IF(D10="","",COUNTIF(Funções!C$8:C$522,D10))</f>
        <v/>
      </c>
      <c r="F10" s="98">
        <f>SUMIF(Funções!$C$8:$C$522,Deflatores!G4,Funções!$H$8:$H$522)</f>
        <v/>
      </c>
      <c r="G10" s="219">
        <f>IF(ISBLANK(Deflatores!H4),"",Deflatores!H4)</f>
        <v/>
      </c>
      <c r="H10" s="98">
        <f>IF(ISBLANK(Deflatores!I4),"",Deflatores!I4)</f>
        <v/>
      </c>
      <c r="I10" s="100">
        <f>IF(F10=0,Deflatores!K4,F10*G10)</f>
        <v/>
      </c>
      <c r="J10" s="101">
        <f>IF($L$11&lt;&gt;0,I10/$L$11,"")</f>
        <v/>
      </c>
      <c r="L10" s="40" t="inlineStr">
        <is>
          <t>PF Local da FS</t>
        </is>
      </c>
      <c r="M10" s="54" t="n"/>
    </row>
    <row r="11" ht="13.5" customHeight="1">
      <c r="A11" s="75" t="n"/>
      <c r="B11" s="153">
        <f>""&amp;Deflatores!B5</f>
        <v/>
      </c>
      <c r="C11" s="182" t="n"/>
      <c r="D11" s="24">
        <f>""&amp;Deflatores!G5</f>
        <v/>
      </c>
      <c r="E11" s="97">
        <f>IF(D11="","",COUNTIF(Funções!C$8:C$522,D11))</f>
        <v/>
      </c>
      <c r="F11" s="98">
        <f>SUMIF(Funções!$C$8:$C$522,Deflatores!G5,Funções!$H$8:$H$522)</f>
        <v/>
      </c>
      <c r="G11" s="219">
        <f>IF(ISBLANK(Deflatores!H5),"",Deflatores!H5)</f>
        <v/>
      </c>
      <c r="H11" s="98">
        <f>IF(ISBLANK(Deflatores!I5),"",Deflatores!I5)</f>
        <v/>
      </c>
      <c r="I11" s="100">
        <f>IF(F11=0,Deflatores!K5,F11*G11)</f>
        <v/>
      </c>
      <c r="J11" s="101">
        <f>IF($L$11&lt;&gt;0,I11/$L$11,"")</f>
        <v/>
      </c>
      <c r="K11" s="87" t="n"/>
      <c r="L11" s="41">
        <f>Contagem!Q6</f>
        <v/>
      </c>
      <c r="M11" s="54" t="n"/>
    </row>
    <row r="12" ht="13.5" customHeight="1">
      <c r="A12" s="75" t="n"/>
      <c r="B12" s="153">
        <f>""&amp;Deflatores!B6</f>
        <v/>
      </c>
      <c r="C12" s="182" t="n"/>
      <c r="D12" s="24">
        <f>""&amp;Deflatores!G6</f>
        <v/>
      </c>
      <c r="E12" s="97">
        <f>IF(D12="","",COUNTIF(Funções!C$8:C$522,D12))</f>
        <v/>
      </c>
      <c r="F12" s="98">
        <f>SUMIF(Funções!$C$8:$C$522,Deflatores!G6,Funções!$H$8:$H$522)</f>
        <v/>
      </c>
      <c r="G12" s="219">
        <f>IF(ISBLANK(Deflatores!H6),"",Deflatores!H6)</f>
        <v/>
      </c>
      <c r="H12" s="98">
        <f>IF(ISBLANK(Deflatores!I6),"",Deflatores!I6)</f>
        <v/>
      </c>
      <c r="I12" s="100">
        <f>IF(F12=0,Deflatores!K6,F12*G12)</f>
        <v/>
      </c>
      <c r="J12" s="101">
        <f>IF($L$11&lt;&gt;0,I12/$L$11,"")</f>
        <v/>
      </c>
      <c r="K12" s="87" t="n"/>
      <c r="L12" s="88" t="n"/>
      <c r="M12" s="54" t="n"/>
    </row>
    <row r="13" ht="13.5" customHeight="1">
      <c r="A13" s="75" t="n"/>
      <c r="B13" s="153">
        <f>""&amp;Deflatores!B7</f>
        <v/>
      </c>
      <c r="C13" s="182" t="n"/>
      <c r="D13" s="24">
        <f>""&amp;Deflatores!G7</f>
        <v/>
      </c>
      <c r="E13" s="97">
        <f>IF(D13="","",COUNTIF(Funções!C$8:C$522,D13))</f>
        <v/>
      </c>
      <c r="F13" s="98">
        <f>SUMIF(Funções!$C$8:$C$522,Deflatores!G7,Funções!$H$8:$H$522)</f>
        <v/>
      </c>
      <c r="G13" s="219">
        <f>IF(ISBLANK(Deflatores!H7),"",Deflatores!H7)</f>
        <v/>
      </c>
      <c r="H13" s="98">
        <f>IF(ISBLANK(Deflatores!I7),"",Deflatores!I7)</f>
        <v/>
      </c>
      <c r="I13" s="100">
        <f>Deflatores!K7</f>
        <v/>
      </c>
      <c r="J13" s="101">
        <f>IF($L$11&lt;&gt;0,I13/$L$11,"")</f>
        <v/>
      </c>
      <c r="K13" s="87" t="n"/>
      <c r="L13" s="40" t="inlineStr">
        <is>
          <t>Total IFPUG</t>
        </is>
      </c>
      <c r="M13" s="54" t="n"/>
    </row>
    <row r="14" ht="13.5" customHeight="1">
      <c r="A14" s="75" t="n"/>
      <c r="B14" s="153">
        <f>""&amp;Deflatores!B8</f>
        <v/>
      </c>
      <c r="C14" s="182" t="n"/>
      <c r="D14" s="24">
        <f>""&amp;Deflatores!G8</f>
        <v/>
      </c>
      <c r="E14" s="97">
        <f>IF(D14="","",COUNTIF(Funções!C$8:C$522,D14))</f>
        <v/>
      </c>
      <c r="F14" s="98">
        <f>SUMIF(Funções!$C$8:$C$522,Deflatores!G8,Funções!$H$8:$H$522)</f>
        <v/>
      </c>
      <c r="G14" s="219">
        <f>IF(ISBLANK(Deflatores!H8),"",Deflatores!H8)</f>
        <v/>
      </c>
      <c r="H14" s="98">
        <f>IF(ISBLANK(Deflatores!I8),"",Deflatores!I8)</f>
        <v/>
      </c>
      <c r="I14" s="100">
        <f>Deflatores!K8</f>
        <v/>
      </c>
      <c r="J14" s="101">
        <f>IF($L$11&lt;&gt;0,I14/$L$11,"")</f>
        <v/>
      </c>
      <c r="L14" s="41">
        <f>Contagem!Q4</f>
        <v/>
      </c>
      <c r="M14" s="54" t="n"/>
    </row>
    <row r="15" ht="13.5" customHeight="1">
      <c r="A15" s="75" t="n"/>
      <c r="B15" s="153">
        <f>""&amp;Deflatores!B9</f>
        <v/>
      </c>
      <c r="C15" s="182" t="n"/>
      <c r="D15" s="24">
        <f>""&amp;Deflatores!G9</f>
        <v/>
      </c>
      <c r="E15" s="97">
        <f>IF(D15="","",COUNTIF(Funções!C$8:C$522,D15))</f>
        <v/>
      </c>
      <c r="F15" s="98">
        <f>SUMIF(Funções!$C$8:$C$522,Deflatores!G9,Funções!$H$8:$H$522)</f>
        <v/>
      </c>
      <c r="G15" s="219">
        <f>IF(ISBLANK(Deflatores!H9),"",Deflatores!H9)</f>
        <v/>
      </c>
      <c r="H15" s="98">
        <f>IF(ISBLANK(Deflatores!I9),"",Deflatores!I9)</f>
        <v/>
      </c>
      <c r="I15" s="100">
        <f>Deflatores!K9</f>
        <v/>
      </c>
      <c r="J15" s="101">
        <f>IF($L$11&lt;&gt;0,I15/$L$11,"")</f>
        <v/>
      </c>
      <c r="M15" s="76" t="n"/>
    </row>
    <row r="16" ht="13.5" customHeight="1">
      <c r="A16" s="75" t="n"/>
      <c r="B16" s="153">
        <f>""&amp;Deflatores!B10</f>
        <v/>
      </c>
      <c r="C16" s="182" t="n"/>
      <c r="D16" s="24">
        <f>""&amp;Deflatores!G10</f>
        <v/>
      </c>
      <c r="E16" s="97">
        <f>IF(D16="","",COUNTIF(Funções!C$8:C$522,D16))</f>
        <v/>
      </c>
      <c r="F16" s="98">
        <f>SUMIF(Funções!$C$8:$C$522,Deflatores!G10,Funções!$H$8:$H$522)</f>
        <v/>
      </c>
      <c r="G16" s="219">
        <f>IF(ISBLANK(Deflatores!H10),"",Deflatores!H10)</f>
        <v/>
      </c>
      <c r="H16" s="98">
        <f>IF(ISBLANK(Deflatores!I10),"",Deflatores!I10)</f>
        <v/>
      </c>
      <c r="I16" s="100">
        <f>Deflatores!K10</f>
        <v/>
      </c>
      <c r="J16" s="101">
        <f>IF($L$11&lt;&gt;0,I16/$L$11,"")</f>
        <v/>
      </c>
      <c r="M16" s="76" t="n"/>
    </row>
    <row r="17" ht="13.5" customHeight="1">
      <c r="A17" s="75" t="n"/>
      <c r="B17" s="153">
        <f>""&amp;Deflatores!B11</f>
        <v/>
      </c>
      <c r="C17" s="182" t="n"/>
      <c r="D17" s="24">
        <f>""&amp;Deflatores!G11</f>
        <v/>
      </c>
      <c r="E17" s="97">
        <f>IF(D17="","",COUNTIF(Funções!C$8:C$522,D17))</f>
        <v/>
      </c>
      <c r="F17" s="98">
        <f>SUMIF(Funções!$C$8:$C$522,Deflatores!G11,Funções!$H$8:$H$522)</f>
        <v/>
      </c>
      <c r="G17" s="219">
        <f>IF(ISBLANK(Deflatores!H11),"",Deflatores!H11)</f>
        <v/>
      </c>
      <c r="H17" s="98">
        <f>IF(ISBLANK(Deflatores!I11),"",Deflatores!I11)</f>
        <v/>
      </c>
      <c r="I17" s="100">
        <f>Deflatores!K11</f>
        <v/>
      </c>
      <c r="J17" s="101">
        <f>IF($L$11&lt;&gt;0,I17/$L$11,"")</f>
        <v/>
      </c>
      <c r="M17" s="76" t="n"/>
    </row>
    <row r="18" ht="13.5" customHeight="1">
      <c r="A18" s="75" t="n"/>
      <c r="B18" s="153">
        <f>""&amp;Deflatores!B12</f>
        <v/>
      </c>
      <c r="C18" s="182" t="n"/>
      <c r="D18" s="24">
        <f>""&amp;Deflatores!G12</f>
        <v/>
      </c>
      <c r="E18" s="97">
        <f>IF(D18="","",COUNTIF(Funções!C$8:C$522,D18))</f>
        <v/>
      </c>
      <c r="F18" s="98">
        <f>SUMIF(Funções!$C$8:$C$522,Deflatores!G12,Funções!$H$8:$H$522)</f>
        <v/>
      </c>
      <c r="G18" s="219">
        <f>IF(ISBLANK(Deflatores!H12),"",Deflatores!H12)</f>
        <v/>
      </c>
      <c r="H18" s="98">
        <f>IF(ISBLANK(Deflatores!I12),"",Deflatores!I12)</f>
        <v/>
      </c>
      <c r="I18" s="100">
        <f>Deflatores!K12</f>
        <v/>
      </c>
      <c r="J18" s="101">
        <f>IF($L$11&lt;&gt;0,I18/$L$11,"")</f>
        <v/>
      </c>
      <c r="M18" s="76" t="n"/>
    </row>
    <row r="19" ht="13.5" customHeight="1">
      <c r="A19" s="75" t="n"/>
      <c r="B19" s="153">
        <f>""&amp;Deflatores!B13</f>
        <v/>
      </c>
      <c r="C19" s="182" t="n"/>
      <c r="D19" s="24">
        <f>""&amp;Deflatores!G13</f>
        <v/>
      </c>
      <c r="E19" s="97">
        <f>IF(D19="","",COUNTIF(Funções!C$8:C$522,D19))</f>
        <v/>
      </c>
      <c r="F19" s="98">
        <f>SUMIF(Funções!$C$8:$C$522,Deflatores!G13,Funções!$H$8:$H$522)</f>
        <v/>
      </c>
      <c r="G19" s="219">
        <f>IF(ISBLANK(Deflatores!H13),"",Deflatores!H13)</f>
        <v/>
      </c>
      <c r="H19" s="98">
        <f>IF(ISBLANK(Deflatores!I13),"",Deflatores!I13)</f>
        <v/>
      </c>
      <c r="I19" s="100">
        <f>Deflatores!K13</f>
        <v/>
      </c>
      <c r="J19" s="101">
        <f>IF($L$11&lt;&gt;0,I19/$L$11,"")</f>
        <v/>
      </c>
      <c r="M19" s="76" t="n"/>
    </row>
    <row r="20" ht="13.5" customHeight="1">
      <c r="A20" s="75" t="n"/>
      <c r="B20" s="153">
        <f>""&amp;Deflatores!B14</f>
        <v/>
      </c>
      <c r="C20" s="182" t="n"/>
      <c r="D20" s="24">
        <f>""&amp;Deflatores!G14</f>
        <v/>
      </c>
      <c r="E20" s="97">
        <f>IF(D20="","",COUNTIF(Funções!C$8:C$522,D20))</f>
        <v/>
      </c>
      <c r="F20" s="98">
        <f>SUMIF(Funções!$C$8:$C$522,Deflatores!G14,Funções!$H$8:$H$522)</f>
        <v/>
      </c>
      <c r="G20" s="219">
        <f>IF(ISBLANK(Deflatores!H14),"",Deflatores!H14)</f>
        <v/>
      </c>
      <c r="H20" s="98">
        <f>IF(ISBLANK(Deflatores!I14),"",Deflatores!I14)</f>
        <v/>
      </c>
      <c r="I20" s="100">
        <f>Deflatores!K14</f>
        <v/>
      </c>
      <c r="J20" s="101">
        <f>IF($L$11&lt;&gt;0,I20/$L$11,"")</f>
        <v/>
      </c>
      <c r="M20" s="76" t="n"/>
    </row>
    <row r="21" ht="13.5" customHeight="1">
      <c r="A21" s="75" t="n"/>
      <c r="B21" s="153">
        <f>""&amp;Deflatores!B15</f>
        <v/>
      </c>
      <c r="C21" s="182" t="n"/>
      <c r="D21" s="24">
        <f>""&amp;Deflatores!G15</f>
        <v/>
      </c>
      <c r="E21" s="97">
        <f>IF(D21="","",COUNTIF(Funções!C$8:C$522,D21))</f>
        <v/>
      </c>
      <c r="F21" s="98">
        <f>SUMIF(Funções!$C$8:$C$522,Deflatores!G15,Funções!$H$8:$H$522)</f>
        <v/>
      </c>
      <c r="G21" s="219">
        <f>IF(ISBLANK(Deflatores!H15),"",Deflatores!H15)</f>
        <v/>
      </c>
      <c r="H21" s="98">
        <f>IF(ISBLANK(Deflatores!I15),"",Deflatores!I15)</f>
        <v/>
      </c>
      <c r="I21" s="100">
        <f>Deflatores!K15</f>
        <v/>
      </c>
      <c r="J21" s="101">
        <f>IF($L$11&lt;&gt;0,I21/$L$11,"")</f>
        <v/>
      </c>
      <c r="M21" s="76" t="n"/>
    </row>
    <row r="22" ht="13.5" customHeight="1">
      <c r="A22" s="75" t="n"/>
      <c r="B22" s="153">
        <f>""&amp;Deflatores!B16</f>
        <v/>
      </c>
      <c r="C22" s="182" t="n"/>
      <c r="D22" s="24">
        <f>""&amp;Deflatores!G16</f>
        <v/>
      </c>
      <c r="E22" s="97">
        <f>IF(D22="","",COUNTIF(Funções!C$8:C$522,D22))</f>
        <v/>
      </c>
      <c r="F22" s="98">
        <f>SUMIF(Funções!$C$8:$C$522,Deflatores!G16,Funções!$H$8:$H$522)</f>
        <v/>
      </c>
      <c r="G22" s="219">
        <f>IF(ISBLANK(Deflatores!H16),"",Deflatores!H16)</f>
        <v/>
      </c>
      <c r="H22" s="98">
        <f>IF(ISBLANK(Deflatores!I16),"",Deflatores!I16)</f>
        <v/>
      </c>
      <c r="I22" s="100">
        <f>Deflatores!K16</f>
        <v/>
      </c>
      <c r="J22" s="101">
        <f>IF($L$11&lt;&gt;0,I22/$L$11,"")</f>
        <v/>
      </c>
      <c r="M22" s="76" t="n"/>
    </row>
    <row r="23" ht="13.5" customHeight="1">
      <c r="A23" s="75" t="n"/>
      <c r="B23" s="153">
        <f>""&amp;Deflatores!B17</f>
        <v/>
      </c>
      <c r="C23" s="182" t="n"/>
      <c r="D23" s="24">
        <f>""&amp;Deflatores!G17</f>
        <v/>
      </c>
      <c r="E23" s="97">
        <f>IF(D23="","",COUNTIF(Funções!C$8:C$522,D23))</f>
        <v/>
      </c>
      <c r="F23" s="98">
        <f>SUMIF(Funções!$C$8:$C$522,Deflatores!G17,Funções!$H$8:$H$522)</f>
        <v/>
      </c>
      <c r="G23" s="219">
        <f>IF(ISBLANK(Deflatores!H17),"",Deflatores!H17)</f>
        <v/>
      </c>
      <c r="H23" s="98">
        <f>IF(ISBLANK(Deflatores!I17),"",Deflatores!I17)</f>
        <v/>
      </c>
      <c r="I23" s="100">
        <f>Deflatores!K17</f>
        <v/>
      </c>
      <c r="J23" s="101">
        <f>IF($L$11&lt;&gt;0,I23/$L$11,"")</f>
        <v/>
      </c>
      <c r="M23" s="76" t="n"/>
    </row>
    <row r="24" ht="13.5" customHeight="1">
      <c r="A24" s="75" t="n"/>
      <c r="B24" s="153">
        <f>""&amp;Deflatores!B18</f>
        <v/>
      </c>
      <c r="C24" s="182" t="n"/>
      <c r="D24" s="24">
        <f>""&amp;Deflatores!G18</f>
        <v/>
      </c>
      <c r="E24" s="97">
        <f>IF(D24="","",COUNTIF(Funções!C$8:C$522,D24))</f>
        <v/>
      </c>
      <c r="F24" s="98">
        <f>SUMIF(Funções!$C$8:$C$522,Deflatores!G18,Funções!$H$8:$H$522)</f>
        <v/>
      </c>
      <c r="G24" s="219">
        <f>IF(ISBLANK(Deflatores!H18),"",Deflatores!H18)</f>
        <v/>
      </c>
      <c r="H24" s="98">
        <f>IF(ISBLANK(Deflatores!I18),"",Deflatores!I18)</f>
        <v/>
      </c>
      <c r="I24" s="100">
        <f>Deflatores!K18</f>
        <v/>
      </c>
      <c r="J24" s="101">
        <f>IF($L$11&lt;&gt;0,I24/$L$11,"")</f>
        <v/>
      </c>
      <c r="K24" s="87" t="n"/>
      <c r="M24" s="76" t="n"/>
    </row>
    <row r="25" ht="13.5" customHeight="1">
      <c r="A25" s="75" t="n"/>
      <c r="B25" s="153">
        <f>""&amp;Deflatores!B19</f>
        <v/>
      </c>
      <c r="C25" s="182" t="n"/>
      <c r="D25" s="24">
        <f>""&amp;Deflatores!G19</f>
        <v/>
      </c>
      <c r="E25" s="97">
        <f>IF(D25="","",COUNTIF(Funções!C$8:C$522,D25))</f>
        <v/>
      </c>
      <c r="F25" s="98">
        <f>SUMIF(Funções!$C$8:$C$522,Deflatores!G19,Funções!$H$8:$H$522)</f>
        <v/>
      </c>
      <c r="G25" s="219">
        <f>IF(ISBLANK(Deflatores!H19),"",Deflatores!H19)</f>
        <v/>
      </c>
      <c r="H25" s="98">
        <f>IF(ISBLANK(Deflatores!I19),"",Deflatores!I19)</f>
        <v/>
      </c>
      <c r="I25" s="100">
        <f>Deflatores!K19</f>
        <v/>
      </c>
      <c r="J25" s="101">
        <f>IF($L$11&lt;&gt;0,I25/$L$11,"")</f>
        <v/>
      </c>
      <c r="K25" s="87" t="n"/>
      <c r="M25" s="76" t="n"/>
    </row>
    <row r="26" ht="13.5" customHeight="1">
      <c r="A26" s="75" t="n"/>
      <c r="B26" s="153">
        <f>""&amp;Deflatores!B20</f>
        <v/>
      </c>
      <c r="C26" s="182" t="n"/>
      <c r="D26" s="24">
        <f>""&amp;Deflatores!G20</f>
        <v/>
      </c>
      <c r="E26" s="97">
        <f>IF(D26="","",COUNTIF(Funções!C$8:C$522,D26))</f>
        <v/>
      </c>
      <c r="F26" s="98">
        <f>SUMIF(Funções!$C$8:$C$522,Deflatores!G20,Funções!$H$8:$H$522)</f>
        <v/>
      </c>
      <c r="G26" s="219">
        <f>IF(ISBLANK(Deflatores!H20),"",Deflatores!H20)</f>
        <v/>
      </c>
      <c r="H26" s="98">
        <f>IF(ISBLANK(Deflatores!I20),"",Deflatores!I20)</f>
        <v/>
      </c>
      <c r="I26" s="100">
        <f>Deflatores!K20</f>
        <v/>
      </c>
      <c r="J26" s="101">
        <f>IF($L$11&lt;&gt;0,I26/$L$11,"")</f>
        <v/>
      </c>
      <c r="K26" s="87" t="n"/>
      <c r="M26" s="76" t="n"/>
    </row>
    <row r="27" ht="13.5" customHeight="1">
      <c r="A27" s="75" t="n"/>
      <c r="B27" s="153">
        <f>""&amp;Deflatores!B21</f>
        <v/>
      </c>
      <c r="C27" s="182" t="n"/>
      <c r="D27" s="24">
        <f>""&amp;Deflatores!G21</f>
        <v/>
      </c>
      <c r="E27" s="97">
        <f>IF(D27="","",COUNTIF(Funções!C$8:C$522,D27))</f>
        <v/>
      </c>
      <c r="F27" s="98">
        <f>SUMIF(Funções!$C$8:$C$522,Deflatores!G21,Funções!$H$8:$H$522)</f>
        <v/>
      </c>
      <c r="G27" s="219">
        <f>IF(ISBLANK(Deflatores!H21),"",Deflatores!H21)</f>
        <v/>
      </c>
      <c r="H27" s="98">
        <f>IF(ISBLANK(Deflatores!I21),"",Deflatores!I21)</f>
        <v/>
      </c>
      <c r="I27" s="100">
        <f>Deflatores!K21</f>
        <v/>
      </c>
      <c r="J27" s="101">
        <f>IF($L$11&lt;&gt;0,I27/$L$11,"")</f>
        <v/>
      </c>
      <c r="K27" s="87" t="n"/>
      <c r="M27" s="76" t="n"/>
    </row>
    <row r="28" ht="13.5" customHeight="1">
      <c r="A28" s="75" t="n"/>
      <c r="B28" s="153">
        <f>""&amp;Deflatores!B22</f>
        <v/>
      </c>
      <c r="C28" s="182" t="n"/>
      <c r="D28" s="24">
        <f>""&amp;Deflatores!G22</f>
        <v/>
      </c>
      <c r="E28" s="97">
        <f>IF(D28="","",COUNTIF(Funções!C$8:C$522,D28))</f>
        <v/>
      </c>
      <c r="F28" s="98">
        <f>SUMIF(Funções!$C$8:$C$522,Deflatores!G22,Funções!$H$8:$H$522)</f>
        <v/>
      </c>
      <c r="G28" s="219">
        <f>IF(ISBLANK(Deflatores!H22),"",Deflatores!H22)</f>
        <v/>
      </c>
      <c r="H28" s="98">
        <f>IF(ISBLANK(Deflatores!I22),"",Deflatores!I22)</f>
        <v/>
      </c>
      <c r="I28" s="100">
        <f>Deflatores!K22</f>
        <v/>
      </c>
      <c r="J28" s="101">
        <f>IF($L$11&lt;&gt;0,I28/$L$11,"")</f>
        <v/>
      </c>
      <c r="M28" s="76" t="n"/>
    </row>
    <row r="29" ht="27" customHeight="1">
      <c r="A29" s="75" t="n"/>
      <c r="B29" s="167">
        <f>""&amp;Deflatores!B23</f>
        <v/>
      </c>
      <c r="C29" s="182" t="n"/>
      <c r="D29" s="24">
        <f>""&amp;Deflatores!G23</f>
        <v/>
      </c>
      <c r="E29" s="97">
        <f>IF(D29="","",COUNTIF(Funções!C$8:C$522,D29))</f>
        <v/>
      </c>
      <c r="F29" s="98">
        <f>SUMIF(Funções!$C$8:$C$522,Deflatores!G23,Funções!$H$8:$H$522)</f>
        <v/>
      </c>
      <c r="G29" s="219">
        <f>IF(ISBLANK(Deflatores!H23),"",Deflatores!H23)</f>
        <v/>
      </c>
      <c r="H29" s="98">
        <f>IF(ISBLANK(Deflatores!I23),"",Deflatores!I23)</f>
        <v/>
      </c>
      <c r="I29" s="100">
        <f>Deflatores!K23</f>
        <v/>
      </c>
      <c r="J29" s="101">
        <f>IF($L$11&lt;&gt;0,I29/$L$11,"")</f>
        <v/>
      </c>
      <c r="M29" s="76" t="n"/>
    </row>
    <row r="30" ht="27" customHeight="1">
      <c r="A30" s="75" t="n"/>
      <c r="B30" s="167">
        <f>""&amp;Deflatores!B24</f>
        <v/>
      </c>
      <c r="C30" s="182" t="n"/>
      <c r="D30" s="24">
        <f>""&amp;Deflatores!G24</f>
        <v/>
      </c>
      <c r="E30" s="97">
        <f>IF(D30="","",COUNTIF(Funções!C$8:C$522,D30))</f>
        <v/>
      </c>
      <c r="F30" s="98">
        <f>SUMIF(Funções!$C$8:$C$522,Deflatores!G24,Funções!$H$8:$H$522)</f>
        <v/>
      </c>
      <c r="G30" s="219">
        <f>IF(ISBLANK(Deflatores!H24),"",Deflatores!H24)</f>
        <v/>
      </c>
      <c r="H30" s="98">
        <f>IF(ISBLANK(Deflatores!I24),"",Deflatores!I24)</f>
        <v/>
      </c>
      <c r="I30" s="100">
        <f>Deflatores!K24</f>
        <v/>
      </c>
      <c r="J30" s="101">
        <f>IF($L$11&lt;&gt;0,I30/$L$11,"")</f>
        <v/>
      </c>
      <c r="M30" s="76" t="n"/>
    </row>
    <row r="31" ht="27" customHeight="1">
      <c r="A31" s="75" t="n"/>
      <c r="B31" s="167">
        <f>""&amp;Deflatores!B25</f>
        <v/>
      </c>
      <c r="C31" s="182" t="n"/>
      <c r="D31" s="24">
        <f>""&amp;Deflatores!G25</f>
        <v/>
      </c>
      <c r="E31" s="97">
        <f>IF(D31="","",COUNTIF(Funções!C$8:C$522,D31))</f>
        <v/>
      </c>
      <c r="F31" s="98">
        <f>SUMIF(Funções!$C$8:$C$522,Deflatores!G25,Funções!$H$8:$H$522)</f>
        <v/>
      </c>
      <c r="G31" s="219">
        <f>IF(ISBLANK(Deflatores!H25),"",Deflatores!H25)</f>
        <v/>
      </c>
      <c r="H31" s="98">
        <f>IF(ISBLANK(Deflatores!I25),"",Deflatores!I25)</f>
        <v/>
      </c>
      <c r="I31" s="100">
        <f>Deflatores!K25</f>
        <v/>
      </c>
      <c r="J31" s="101">
        <f>IF($L$11&lt;&gt;0,I31/$L$11,"")</f>
        <v/>
      </c>
      <c r="M31" s="76" t="n"/>
    </row>
    <row r="32" ht="13.5" customHeight="1">
      <c r="A32" s="75" t="n"/>
      <c r="B32" s="153">
        <f>""&amp;Deflatores!B26</f>
        <v/>
      </c>
      <c r="C32" s="182" t="n"/>
      <c r="D32" s="24">
        <f>""&amp;Deflatores!G26</f>
        <v/>
      </c>
      <c r="E32" s="97">
        <f>IF(D32="","",COUNTIF(Funções!C$8:C$522,D32))</f>
        <v/>
      </c>
      <c r="F32" s="98">
        <f>SUMIF(Funções!$C$8:$C$522,Deflatores!G26,Funções!$H$8:$H$522)</f>
        <v/>
      </c>
      <c r="G32" s="219">
        <f>IF(ISBLANK(Deflatores!H26),"",Deflatores!H26)</f>
        <v/>
      </c>
      <c r="H32" s="98">
        <f>IF(ISBLANK(Deflatores!I26),"",Deflatores!I26)</f>
        <v/>
      </c>
      <c r="I32" s="100">
        <f>Deflatores!K26</f>
        <v/>
      </c>
      <c r="J32" s="101">
        <f>IF($L$11&lt;&gt;0,I32/$L$11,"")</f>
        <v/>
      </c>
      <c r="M32" s="76" t="n"/>
    </row>
    <row r="33" ht="13.5" customHeight="1">
      <c r="A33" s="75" t="n"/>
      <c r="B33" s="153">
        <f>""&amp;Deflatores!B27</f>
        <v/>
      </c>
      <c r="C33" s="182" t="n"/>
      <c r="D33" s="24">
        <f>""&amp;Deflatores!G27</f>
        <v/>
      </c>
      <c r="E33" s="97">
        <f>IF(D33="","",COUNTIF(Funções!C$8:C$522,D33))</f>
        <v/>
      </c>
      <c r="F33" s="98">
        <f>SUMIF(Funções!$C$8:$C$522,Deflatores!G27,Funções!$H$8:$H$522)</f>
        <v/>
      </c>
      <c r="G33" s="219">
        <f>IF(ISBLANK(Deflatores!H27),"",Deflatores!H27)</f>
        <v/>
      </c>
      <c r="H33" s="98">
        <f>IF(ISBLANK(Deflatores!I27),"",Deflatores!I27)</f>
        <v/>
      </c>
      <c r="I33" s="100">
        <f>Deflatores!K27</f>
        <v/>
      </c>
      <c r="J33" s="101">
        <f>IF($L$11&lt;&gt;0,I33/$L$11,"")</f>
        <v/>
      </c>
      <c r="M33" s="76" t="n"/>
    </row>
    <row r="34" ht="13.5" customHeight="1">
      <c r="A34" s="75" t="n"/>
      <c r="B34" s="153">
        <f>""&amp;Deflatores!B28</f>
        <v/>
      </c>
      <c r="C34" s="182" t="n"/>
      <c r="D34" s="24">
        <f>""&amp;Deflatores!G28</f>
        <v/>
      </c>
      <c r="E34" s="97">
        <f>IF(D34="","",COUNTIF(Funções!C$8:C$522,D34))</f>
        <v/>
      </c>
      <c r="F34" s="98">
        <f>SUMIF(Funções!$C$8:$C$522,Deflatores!G28,Funções!$H$8:$H$522)</f>
        <v/>
      </c>
      <c r="G34" s="219">
        <f>IF(ISBLANK(Deflatores!H28),"",Deflatores!H28)</f>
        <v/>
      </c>
      <c r="H34" s="98">
        <f>IF(ISBLANK(Deflatores!I28),"",Deflatores!I28)</f>
        <v/>
      </c>
      <c r="I34" s="100">
        <f>Deflatores!K28</f>
        <v/>
      </c>
      <c r="J34" s="101">
        <f>IF($L$11&lt;&gt;0,I34/$L$11,"")</f>
        <v/>
      </c>
      <c r="M34" s="76" t="n"/>
    </row>
    <row r="35" ht="13.5" customHeight="1">
      <c r="A35" s="75" t="n"/>
      <c r="B35" s="153">
        <f>""&amp;Deflatores!B29</f>
        <v/>
      </c>
      <c r="C35" s="182" t="n"/>
      <c r="D35" s="24">
        <f>""&amp;Deflatores!G29</f>
        <v/>
      </c>
      <c r="E35" s="97">
        <f>IF(D35="","",COUNTIF(Funções!C$8:C$522,D35))</f>
        <v/>
      </c>
      <c r="F35" s="98">
        <f>SUMIF(Funções!$C$8:$C$522,Deflatores!G29,Funções!$H$8:$H$522)</f>
        <v/>
      </c>
      <c r="G35" s="219">
        <f>IF(ISBLANK(Deflatores!H29),"",Deflatores!H29)</f>
        <v/>
      </c>
      <c r="H35" s="98">
        <f>IF(ISBLANK(Deflatores!I29),"",Deflatores!I29)</f>
        <v/>
      </c>
      <c r="I35" s="100">
        <f>Deflatores!K29</f>
        <v/>
      </c>
      <c r="J35" s="101">
        <f>IF($L$11&lt;&gt;0,I35/$L$11,"")</f>
        <v/>
      </c>
      <c r="M35" s="76" t="n"/>
    </row>
    <row r="36" ht="13.5" customHeight="1">
      <c r="A36" s="75" t="n"/>
      <c r="B36" s="153">
        <f>""&amp;Deflatores!B30</f>
        <v/>
      </c>
      <c r="C36" s="182" t="n"/>
      <c r="D36" s="24">
        <f>""&amp;Deflatores!G30</f>
        <v/>
      </c>
      <c r="E36" s="97">
        <f>IF(D36="","",COUNTIF(Funções!C$8:C$522,D36))</f>
        <v/>
      </c>
      <c r="F36" s="98">
        <f>SUMIF(Funções!$C$8:$C$522,Deflatores!G30,Funções!$H$8:$H$522)</f>
        <v/>
      </c>
      <c r="G36" s="219">
        <f>IF(ISBLANK(Deflatores!H30),"",Deflatores!H30)</f>
        <v/>
      </c>
      <c r="H36" s="98">
        <f>IF(ISBLANK(Deflatores!I30),"",Deflatores!I30)</f>
        <v/>
      </c>
      <c r="I36" s="100">
        <f>Deflatores!K30</f>
        <v/>
      </c>
      <c r="J36" s="101">
        <f>IF($L$11&lt;&gt;0,I36/$L$11,"")</f>
        <v/>
      </c>
      <c r="M36" s="76" t="n"/>
    </row>
    <row r="37" ht="13.5" customHeight="1">
      <c r="A37" s="75" t="n"/>
      <c r="B37" s="153">
        <f>""&amp;Deflatores!B31</f>
        <v/>
      </c>
      <c r="C37" s="182" t="n"/>
      <c r="D37" s="24">
        <f>""&amp;Deflatores!G31</f>
        <v/>
      </c>
      <c r="E37" s="97">
        <f>IF(D37="","",COUNTIF(Funções!C$8:C$522,D37))</f>
        <v/>
      </c>
      <c r="F37" s="98">
        <f>SUMIF(Funções!$C$8:$C$522,Deflatores!G31,Funções!$H$8:$H$522)</f>
        <v/>
      </c>
      <c r="G37" s="219">
        <f>IF(ISBLANK(Deflatores!H31),"",Deflatores!H31)</f>
        <v/>
      </c>
      <c r="H37" s="98">
        <f>IF(ISBLANK(Deflatores!I31),"",Deflatores!I31)</f>
        <v/>
      </c>
      <c r="I37" s="100">
        <f>Deflatores!K31</f>
        <v/>
      </c>
      <c r="J37" s="101">
        <f>IF($L$11&lt;&gt;0,I37/$L$11,"")</f>
        <v/>
      </c>
      <c r="M37" s="76" t="n"/>
    </row>
    <row r="38" ht="13.5" customHeight="1">
      <c r="A38" s="75" t="n"/>
      <c r="B38" s="153">
        <f>""&amp;Deflatores!B32</f>
        <v/>
      </c>
      <c r="C38" s="182" t="n"/>
      <c r="D38" s="24">
        <f>""&amp;Deflatores!G32</f>
        <v/>
      </c>
      <c r="E38" s="97">
        <f>IF(D38="","",COUNTIF(Funções!C$8:C$522,D38))</f>
        <v/>
      </c>
      <c r="F38" s="98">
        <f>SUMIF(Funções!$C$8:$C$522,Deflatores!G32,Funções!$H$8:$H$522)</f>
        <v/>
      </c>
      <c r="G38" s="219">
        <f>IF(ISBLANK(Deflatores!H32),"",Deflatores!H32)</f>
        <v/>
      </c>
      <c r="H38" s="98">
        <f>IF(ISBLANK(Deflatores!I32),"",Deflatores!I32)</f>
        <v/>
      </c>
      <c r="I38" s="100">
        <f>Deflatores!K32</f>
        <v/>
      </c>
      <c r="J38" s="101">
        <f>IF($L$11&lt;&gt;0,I38/$L$11,"")</f>
        <v/>
      </c>
      <c r="M38" s="76" t="n"/>
    </row>
    <row r="39" ht="13.5" customHeight="1">
      <c r="A39" s="75" t="n"/>
      <c r="B39" s="153">
        <f>""&amp;Deflatores!B33</f>
        <v/>
      </c>
      <c r="C39" s="182" t="n"/>
      <c r="D39" s="24">
        <f>""&amp;Deflatores!G33</f>
        <v/>
      </c>
      <c r="E39" s="97">
        <f>IF(D39="","",COUNTIF(Funções!C$8:C$522,D39))</f>
        <v/>
      </c>
      <c r="F39" s="98">
        <f>SUMIF(Funções!$C$8:$C$522,Deflatores!G33,Funções!$H$8:$H$522)</f>
        <v/>
      </c>
      <c r="G39" s="219">
        <f>IF(ISBLANK(Deflatores!H33),"",Deflatores!H33)</f>
        <v/>
      </c>
      <c r="H39" s="98">
        <f>IF(ISBLANK(Deflatores!I33),"",Deflatores!I33)</f>
        <v/>
      </c>
      <c r="I39" s="100">
        <f>Deflatores!K33</f>
        <v/>
      </c>
      <c r="J39" s="101">
        <f>IF($L$11&lt;&gt;0,I39/$L$11,"")</f>
        <v/>
      </c>
      <c r="M39" s="76" t="n"/>
    </row>
    <row r="40" ht="13.5" customHeight="1">
      <c r="A40" s="75" t="n"/>
      <c r="B40" s="153">
        <f>""&amp;Deflatores!B34</f>
        <v/>
      </c>
      <c r="C40" s="182" t="n"/>
      <c r="D40" s="24">
        <f>""&amp;Deflatores!G34</f>
        <v/>
      </c>
      <c r="E40" s="97">
        <f>IF(D40="","",COUNTIF(Funções!C$8:C$522,D40))</f>
        <v/>
      </c>
      <c r="F40" s="98">
        <f>SUMIF(Funções!$C$8:$C$522,Deflatores!G34,Funções!$H$8:$H$522)</f>
        <v/>
      </c>
      <c r="G40" s="219">
        <f>IF(ISBLANK(Deflatores!H34),"",Deflatores!H34)</f>
        <v/>
      </c>
      <c r="H40" s="98">
        <f>IF(ISBLANK(Deflatores!I34),"",Deflatores!I34)</f>
        <v/>
      </c>
      <c r="I40" s="100">
        <f>Deflatores!K34</f>
        <v/>
      </c>
      <c r="J40" s="101">
        <f>IF($L$11&lt;&gt;0,I40/$L$11,"")</f>
        <v/>
      </c>
      <c r="M40" s="76" t="n"/>
    </row>
    <row r="41" ht="13.5" customHeight="1">
      <c r="A41" s="75" t="n"/>
      <c r="B41" s="153">
        <f>""&amp;Deflatores!B35</f>
        <v/>
      </c>
      <c r="C41" s="182" t="n"/>
      <c r="D41" s="24">
        <f>""&amp;Deflatores!G35</f>
        <v/>
      </c>
      <c r="E41" s="97">
        <f>IF(D41="","",COUNTIF(Funções!C$8:C$522,D41))</f>
        <v/>
      </c>
      <c r="F41" s="98">
        <f>SUMIF(Funções!$C$8:$C$522,Deflatores!G35,Funções!$H$8:$H$522)</f>
        <v/>
      </c>
      <c r="G41" s="219">
        <f>IF(ISBLANK(Deflatores!H35),"",Deflatores!H35)</f>
        <v/>
      </c>
      <c r="H41" s="98">
        <f>IF(ISBLANK(Deflatores!I35),"",Deflatores!I35)</f>
        <v/>
      </c>
      <c r="I41" s="100">
        <f>Deflatores!K35</f>
        <v/>
      </c>
      <c r="J41" s="101">
        <f>IF($L$11&lt;&gt;0,I41/$L$11,"")</f>
        <v/>
      </c>
      <c r="M41" s="76" t="n"/>
    </row>
    <row r="42" ht="13.5" customHeight="1">
      <c r="A42" s="75" t="n"/>
      <c r="B42" s="153">
        <f>""&amp;Deflatores!B36</f>
        <v/>
      </c>
      <c r="C42" s="182" t="n"/>
      <c r="D42" s="24">
        <f>""&amp;Deflatores!G36</f>
        <v/>
      </c>
      <c r="E42" s="97">
        <f>IF(D42="","",COUNTIF(Funções!C$8:C$522,D42))</f>
        <v/>
      </c>
      <c r="F42" s="98">
        <f>SUMIF(Funções!$C$8:$C$522,Deflatores!G36,Funções!$H$8:$H$522)</f>
        <v/>
      </c>
      <c r="G42" s="219">
        <f>IF(ISBLANK(Deflatores!H36),"",Deflatores!H36)</f>
        <v/>
      </c>
      <c r="H42" s="98">
        <f>IF(ISBLANK(Deflatores!I36),"",Deflatores!I36)</f>
        <v/>
      </c>
      <c r="I42" s="100">
        <f>Deflatores!K36</f>
        <v/>
      </c>
      <c r="J42" s="101">
        <f>IF($L$11&lt;&gt;0,I42/$L$11,"")</f>
        <v/>
      </c>
      <c r="M42" s="76" t="n"/>
    </row>
    <row r="43" ht="13.5" customHeight="1">
      <c r="A43" s="75" t="n"/>
      <c r="B43" s="153">
        <f>""&amp;Deflatores!B37</f>
        <v/>
      </c>
      <c r="C43" s="182" t="n"/>
      <c r="D43" s="24">
        <f>""&amp;Deflatores!G37</f>
        <v/>
      </c>
      <c r="E43" s="97">
        <f>IF(D43="","",COUNTIF(Funções!C$8:C$522,D43))</f>
        <v/>
      </c>
      <c r="F43" s="98">
        <f>SUMIF(Funções!$C$8:$C$522,Deflatores!G37,Funções!$H$8:$H$522)</f>
        <v/>
      </c>
      <c r="G43" s="219">
        <f>IF(ISBLANK(Deflatores!H37),"",Deflatores!H37)</f>
        <v/>
      </c>
      <c r="H43" s="98">
        <f>IF(ISBLANK(Deflatores!I37),"",Deflatores!I37)</f>
        <v/>
      </c>
      <c r="I43" s="100">
        <f>Deflatores!K37</f>
        <v/>
      </c>
      <c r="J43" s="101">
        <f>IF($L$11&lt;&gt;0,I43/$L$11,"")</f>
        <v/>
      </c>
      <c r="M43" s="76" t="n"/>
    </row>
    <row r="44" ht="13.5" customHeight="1">
      <c r="A44" s="75" t="n"/>
      <c r="B44" s="153">
        <f>""&amp;Deflatores!B38</f>
        <v/>
      </c>
      <c r="C44" s="182" t="n"/>
      <c r="D44" s="24">
        <f>""&amp;Deflatores!G38</f>
        <v/>
      </c>
      <c r="E44" s="97">
        <f>IF(D44="","",COUNTIF(Funções!C$8:C$522,D44))</f>
        <v/>
      </c>
      <c r="F44" s="98">
        <f>SUMIF(Funções!$C$8:$C$522,Deflatores!G38,Funções!$H$8:$H$522)</f>
        <v/>
      </c>
      <c r="G44" s="219">
        <f>IF(ISBLANK(Deflatores!H38),"",Deflatores!H38)</f>
        <v/>
      </c>
      <c r="H44" s="98">
        <f>IF(ISBLANK(Deflatores!I38),"",Deflatores!I38)</f>
        <v/>
      </c>
      <c r="I44" s="100">
        <f>Deflatores!K38</f>
        <v/>
      </c>
      <c r="J44" s="101">
        <f>IF($L$11&lt;&gt;0,I44/$L$11,"")</f>
        <v/>
      </c>
      <c r="M44" s="76" t="n"/>
    </row>
    <row r="45" ht="13.8" customHeight="1">
      <c r="A45" s="75" t="n"/>
      <c r="B45" s="89" t="n"/>
      <c r="C45" s="58" t="n"/>
      <c r="D45" s="176" t="n"/>
      <c r="E45" s="73" t="n"/>
      <c r="F45" s="73" t="n"/>
      <c r="G45" s="42" t="n"/>
      <c r="H45" s="90" t="n"/>
      <c r="I45" s="91" t="n"/>
      <c r="M45" s="76" t="n"/>
    </row>
    <row r="46" ht="13.5" customHeight="1">
      <c r="A46" s="75" t="n"/>
      <c r="B46" s="174" t="inlineStr">
        <is>
          <t>Itens não Funcionais (Tipo de Função)</t>
        </is>
      </c>
      <c r="C46" s="42" t="n"/>
      <c r="D46" s="214" t="n"/>
      <c r="E46" s="43" t="inlineStr">
        <is>
          <t>Quantidade</t>
        </is>
      </c>
      <c r="F46" s="44" t="n"/>
      <c r="G46" s="42" t="n"/>
      <c r="H46" s="43" t="inlineStr">
        <is>
          <t>Contrib. Fixa</t>
        </is>
      </c>
      <c r="I46" s="43" t="inlineStr">
        <is>
          <t>PF Local da FS</t>
        </is>
      </c>
      <c r="J46" s="43" t="inlineStr">
        <is>
          <t>% LOCAL</t>
        </is>
      </c>
      <c r="M46" s="76" t="n"/>
    </row>
    <row r="47" ht="13.5" customHeight="1">
      <c r="A47" s="75" t="n"/>
      <c r="B47" s="153">
        <f>""&amp;Deflatores!B42</f>
        <v/>
      </c>
      <c r="C47" s="182" t="n"/>
      <c r="D47" s="36">
        <f>""&amp;Deflatores!G42</f>
        <v/>
      </c>
      <c r="E47" s="37">
        <f>Deflatores!J42</f>
        <v/>
      </c>
      <c r="H47" s="38">
        <f>IF(ISBLANK(Deflatores!H42),"",Deflatores!H42)</f>
        <v/>
      </c>
      <c r="I47" s="38">
        <f>IF(ISNUMBER(H47),E47*H47,"")</f>
        <v/>
      </c>
      <c r="J47" s="39">
        <f>IF(ISNUMBER(I47),IF($L$11&lt;&gt;0,I47/$L$11,""),"")</f>
        <v/>
      </c>
      <c r="M47" s="76" t="n"/>
    </row>
    <row r="48" ht="13.5" customHeight="1">
      <c r="A48" s="75" t="n"/>
      <c r="B48" s="153">
        <f>""&amp;Deflatores!B43</f>
        <v/>
      </c>
      <c r="C48" s="182" t="n"/>
      <c r="D48" s="36">
        <f>""&amp;Deflatores!G43</f>
        <v/>
      </c>
      <c r="E48" s="37">
        <f>Deflatores!J43</f>
        <v/>
      </c>
      <c r="H48" s="38">
        <f>IF(ISBLANK(Deflatores!H43),"",Deflatores!H43)</f>
        <v/>
      </c>
      <c r="I48" s="38">
        <f>IF(ISNUMBER(H48),E48*H48,"")</f>
        <v/>
      </c>
      <c r="J48" s="39">
        <f>IF(ISNUMBER(I48),IF($L$11&lt;&gt;0,I48/$L$11,""),"")</f>
        <v/>
      </c>
      <c r="M48" s="76" t="n"/>
    </row>
    <row r="49" ht="13.8" customHeight="1">
      <c r="A49" s="75" t="n"/>
      <c r="B49" s="153">
        <f>""&amp;Deflatores!B44</f>
        <v/>
      </c>
      <c r="C49" s="182" t="n"/>
      <c r="D49" s="36">
        <f>""&amp;Deflatores!G44</f>
        <v/>
      </c>
      <c r="E49" s="37">
        <f>Deflatores!J44</f>
        <v/>
      </c>
      <c r="H49" s="38">
        <f>IF(ISBLANK(Deflatores!H44),"",Deflatores!H44)</f>
        <v/>
      </c>
      <c r="I49" s="38">
        <f>IF(ISNUMBER(H49),E49*H49,"")</f>
        <v/>
      </c>
      <c r="J49" s="39">
        <f>IF(ISNUMBER(I49),IF($L$11&lt;&gt;0,I49/$L$11,""),"")</f>
        <v/>
      </c>
      <c r="M49" s="76" t="n"/>
    </row>
    <row r="50" ht="13.8" customHeight="1">
      <c r="A50" s="75" t="n"/>
      <c r="B50" s="153">
        <f>""&amp;Deflatores!B45</f>
        <v/>
      </c>
      <c r="C50" s="182" t="n"/>
      <c r="D50" s="36">
        <f>""&amp;Deflatores!G45</f>
        <v/>
      </c>
      <c r="E50" s="37">
        <f>Deflatores!J45</f>
        <v/>
      </c>
      <c r="H50" s="38">
        <f>IF(ISBLANK(Deflatores!H45),"",Deflatores!H45)</f>
        <v/>
      </c>
      <c r="I50" s="38">
        <f>IF(ISNUMBER(H50),E50*H50,"")</f>
        <v/>
      </c>
      <c r="J50" s="39">
        <f>IF(ISNUMBER(I50),IF($L$11&lt;&gt;0,I50/$L$11,""),"")</f>
        <v/>
      </c>
      <c r="M50" s="76" t="n"/>
    </row>
    <row r="51" ht="13.8" customHeight="1">
      <c r="A51" s="75" t="n"/>
      <c r="B51" s="153">
        <f>""&amp;Deflatores!B46</f>
        <v/>
      </c>
      <c r="C51" s="182" t="n"/>
      <c r="D51" s="36">
        <f>""&amp;Deflatores!G46</f>
        <v/>
      </c>
      <c r="E51" s="37">
        <f>Deflatores!J46</f>
        <v/>
      </c>
      <c r="H51" s="38">
        <f>IF(ISBLANK(Deflatores!H46),"",Deflatores!H46)</f>
        <v/>
      </c>
      <c r="I51" s="38">
        <f>IF(ISNUMBER(H51),E51*H51,"")</f>
        <v/>
      </c>
      <c r="J51" s="39">
        <f>IF(ISNUMBER(I51),IF($L$11&lt;&gt;0,I51/$L$11,""),"")</f>
        <v/>
      </c>
      <c r="M51" s="76" t="n"/>
    </row>
    <row r="52" ht="13.8" customHeight="1">
      <c r="A52" s="75" t="n"/>
      <c r="B52" s="153">
        <f>""&amp;Deflatores!B47</f>
        <v/>
      </c>
      <c r="C52" s="182" t="n"/>
      <c r="D52" s="36">
        <f>""&amp;Deflatores!G47</f>
        <v/>
      </c>
      <c r="E52" s="37">
        <f>Deflatores!J47</f>
        <v/>
      </c>
      <c r="H52" s="38">
        <f>IF(ISBLANK(Deflatores!H47),"",Deflatores!H47)</f>
        <v/>
      </c>
      <c r="I52" s="38">
        <f>IF(ISNUMBER(H52),E52*H52,"")</f>
        <v/>
      </c>
      <c r="J52" s="39">
        <f>IF(ISNUMBER(I52),IF($L$11&lt;&gt;0,I52/$L$11,""),"")</f>
        <v/>
      </c>
      <c r="M52" s="76" t="n"/>
    </row>
    <row r="53" ht="13.8" customHeight="1">
      <c r="A53" s="75" t="n"/>
      <c r="B53" s="153">
        <f>""&amp;Deflatores!B48</f>
        <v/>
      </c>
      <c r="C53" s="182" t="n"/>
      <c r="D53" s="36">
        <f>""&amp;Deflatores!G48</f>
        <v/>
      </c>
      <c r="E53" s="37">
        <f>Deflatores!J48</f>
        <v/>
      </c>
      <c r="H53" s="38">
        <f>IF(ISBLANK(Deflatores!H48),"",Deflatores!H48)</f>
        <v/>
      </c>
      <c r="I53" s="38">
        <f>IF(ISNUMBER(H53),E53*H53,"")</f>
        <v/>
      </c>
      <c r="J53" s="39">
        <f>IF(ISNUMBER(I53),IF($L$11&lt;&gt;0,I53/$L$11,""),"")</f>
        <v/>
      </c>
      <c r="M53" s="76" t="n"/>
    </row>
    <row r="54" ht="13.8" customHeight="1">
      <c r="A54" s="75" t="n"/>
      <c r="B54" s="153">
        <f>""&amp;Deflatores!B49</f>
        <v/>
      </c>
      <c r="C54" s="182" t="n"/>
      <c r="D54" s="36">
        <f>""&amp;Deflatores!G49</f>
        <v/>
      </c>
      <c r="E54" s="37">
        <f>Deflatores!J49</f>
        <v/>
      </c>
      <c r="H54" s="38">
        <f>IF(ISBLANK(Deflatores!H49),"",Deflatores!H49)</f>
        <v/>
      </c>
      <c r="I54" s="38">
        <f>IF(ISNUMBER(H54),E54*H54,"")</f>
        <v/>
      </c>
      <c r="J54" s="39">
        <f>IF(ISNUMBER(I54),IF($L$11&lt;&gt;0,I54/$L$11,""),"")</f>
        <v/>
      </c>
      <c r="M54" s="76" t="n"/>
    </row>
    <row r="55" ht="13.8" customHeight="1">
      <c r="A55" s="75" t="n"/>
      <c r="B55" s="153">
        <f>""&amp;Deflatores!B50</f>
        <v/>
      </c>
      <c r="C55" s="182" t="n"/>
      <c r="D55" s="36">
        <f>""&amp;Deflatores!G50</f>
        <v/>
      </c>
      <c r="E55" s="37">
        <f>Deflatores!J50</f>
        <v/>
      </c>
      <c r="H55" s="38">
        <f>IF(ISBLANK(Deflatores!H50),"",Deflatores!H50)</f>
        <v/>
      </c>
      <c r="I55" s="38">
        <f>IF(ISNUMBER(H55),E55*H55,"")</f>
        <v/>
      </c>
      <c r="J55" s="39">
        <f>IF(ISNUMBER(I55),IF($L$11&lt;&gt;0,I55/$L$11,""),"")</f>
        <v/>
      </c>
      <c r="M55" s="76" t="n"/>
    </row>
    <row r="56" ht="13.8" customHeight="1">
      <c r="A56" s="75" t="n"/>
      <c r="B56" s="153">
        <f>""&amp;Deflatores!B51</f>
        <v/>
      </c>
      <c r="C56" s="182" t="n"/>
      <c r="D56" s="36">
        <f>""&amp;Deflatores!G51</f>
        <v/>
      </c>
      <c r="E56" s="37">
        <f>Deflatores!J51</f>
        <v/>
      </c>
      <c r="H56" s="38">
        <f>IF(ISBLANK(Deflatores!H51),"",Deflatores!H51)</f>
        <v/>
      </c>
      <c r="I56" s="38">
        <f>IF(ISNUMBER(H56),E56*H56,"")</f>
        <v/>
      </c>
      <c r="J56" s="39">
        <f>IF(ISNUMBER(I56),IF($L$11&lt;&gt;0,I56/$L$11,""),"")</f>
        <v/>
      </c>
      <c r="M56" s="76" t="n"/>
    </row>
    <row r="57" ht="13.8" customHeight="1">
      <c r="A57" s="75" t="n"/>
      <c r="B57" s="153">
        <f>""&amp;Deflatores!B52</f>
        <v/>
      </c>
      <c r="C57" s="182" t="n"/>
      <c r="D57" s="36">
        <f>""&amp;Deflatores!G52</f>
        <v/>
      </c>
      <c r="E57" s="37">
        <f>Deflatores!J52</f>
        <v/>
      </c>
      <c r="H57" s="38">
        <f>IF(ISBLANK(Deflatores!H52),"",Deflatores!H52)</f>
        <v/>
      </c>
      <c r="I57" s="38">
        <f>IF(ISNUMBER(H57),E57*H57,"")</f>
        <v/>
      </c>
      <c r="J57" s="39">
        <f>IF(ISNUMBER(I57),IF($L$11&lt;&gt;0,I57/$L$11,""),"")</f>
        <v/>
      </c>
      <c r="M57" s="76" t="n"/>
    </row>
    <row r="58" ht="13.8" customHeight="1">
      <c r="A58" s="75" t="n"/>
      <c r="B58" s="153">
        <f>""&amp;Deflatores!B53</f>
        <v/>
      </c>
      <c r="C58" s="182" t="n"/>
      <c r="D58" s="36">
        <f>""&amp;Deflatores!G53</f>
        <v/>
      </c>
      <c r="E58" s="37">
        <f>Deflatores!J53</f>
        <v/>
      </c>
      <c r="H58" s="38">
        <f>IF(ISBLANK(Deflatores!H53),"",Deflatores!H53)</f>
        <v/>
      </c>
      <c r="I58" s="38">
        <f>IF(ISNUMBER(H58),E58*H58,"")</f>
        <v/>
      </c>
      <c r="J58" s="39">
        <f>IF(ISNUMBER(I58),IF($L$11&lt;&gt;0,I58/$L$11,""),"")</f>
        <v/>
      </c>
      <c r="M58" s="76" t="n"/>
    </row>
    <row r="59" ht="13.8" customHeight="1">
      <c r="A59" s="75" t="n"/>
      <c r="B59" s="153">
        <f>""&amp;Deflatores!B54</f>
        <v/>
      </c>
      <c r="C59" s="182" t="n"/>
      <c r="D59" s="36">
        <f>""&amp;Deflatores!G54</f>
        <v/>
      </c>
      <c r="E59" s="37">
        <f>Deflatores!J54</f>
        <v/>
      </c>
      <c r="H59" s="38">
        <f>IF(ISBLANK(Deflatores!H54),"",Deflatores!H54)</f>
        <v/>
      </c>
      <c r="I59" s="38">
        <f>IF(ISNUMBER(H59),E59*H59,"")</f>
        <v/>
      </c>
      <c r="J59" s="39">
        <f>IF(ISNUMBER(I59),IF($L$11&lt;&gt;0,I59/$L$11,""),"")</f>
        <v/>
      </c>
      <c r="M59" s="76" t="n"/>
    </row>
    <row r="60" ht="13.8" customHeight="1">
      <c r="A60" s="75" t="n"/>
      <c r="B60" s="153">
        <f>""&amp;Deflatores!B55</f>
        <v/>
      </c>
      <c r="C60" s="182" t="n"/>
      <c r="D60" s="36">
        <f>""&amp;Deflatores!G55</f>
        <v/>
      </c>
      <c r="E60" s="37">
        <f>Deflatores!J55</f>
        <v/>
      </c>
      <c r="H60" s="38">
        <f>IF(ISBLANK(Deflatores!H55),"",Deflatores!H55)</f>
        <v/>
      </c>
      <c r="I60" s="38">
        <f>IF(ISNUMBER(H60),E60*H60,"")</f>
        <v/>
      </c>
      <c r="J60" s="39">
        <f>IF(ISNUMBER(I60),IF($L$11&lt;&gt;0,I60/$L$11,""),"")</f>
        <v/>
      </c>
      <c r="M60" s="76" t="n"/>
    </row>
    <row r="61" ht="13.8" customHeight="1">
      <c r="A61" s="75" t="n"/>
      <c r="B61" s="153">
        <f>""&amp;Deflatores!B56</f>
        <v/>
      </c>
      <c r="C61" s="182" t="n"/>
      <c r="D61" s="36">
        <f>""&amp;Deflatores!G56</f>
        <v/>
      </c>
      <c r="E61" s="37">
        <f>Deflatores!J56</f>
        <v/>
      </c>
      <c r="H61" s="38">
        <f>IF(ISBLANK(Deflatores!H56),"",Deflatores!H56)</f>
        <v/>
      </c>
      <c r="I61" s="38">
        <f>IF(ISNUMBER(H61),E61*H61,"")</f>
        <v/>
      </c>
      <c r="J61" s="39">
        <f>IF(ISNUMBER(I61),IF($L$11&lt;&gt;0,I61/$L$11,""),"")</f>
        <v/>
      </c>
      <c r="M61" s="76" t="n"/>
    </row>
    <row r="62" ht="13.8" customHeight="1">
      <c r="A62" s="75" t="n"/>
      <c r="B62" s="153">
        <f>""&amp;Deflatores!B57</f>
        <v/>
      </c>
      <c r="C62" s="182" t="n"/>
      <c r="D62" s="36">
        <f>""&amp;Deflatores!G57</f>
        <v/>
      </c>
      <c r="E62" s="37">
        <f>Deflatores!J57</f>
        <v/>
      </c>
      <c r="H62" s="38">
        <f>IF(ISBLANK(Deflatores!H57),"",Deflatores!H57)</f>
        <v/>
      </c>
      <c r="I62" s="38">
        <f>IF(ISNUMBER(H62),E62*H62,"")</f>
        <v/>
      </c>
      <c r="J62" s="39">
        <f>IF(ISNUMBER(I62),IF($L$11&lt;&gt;0,I62/$L$11,""),"")</f>
        <v/>
      </c>
      <c r="M62" s="76" t="n"/>
    </row>
    <row r="63" ht="13.8" customHeight="1">
      <c r="A63" s="75" t="n"/>
      <c r="B63" s="153">
        <f>""&amp;Deflatores!B58</f>
        <v/>
      </c>
      <c r="C63" s="182" t="n"/>
      <c r="D63" s="36">
        <f>""&amp;Deflatores!G58</f>
        <v/>
      </c>
      <c r="E63" s="37">
        <f>Deflatores!J58</f>
        <v/>
      </c>
      <c r="H63" s="38">
        <f>IF(ISBLANK(Deflatores!H58),"",Deflatores!H58)</f>
        <v/>
      </c>
      <c r="I63" s="38">
        <f>IF(ISNUMBER(H63),E63*H63,"")</f>
        <v/>
      </c>
      <c r="J63" s="39">
        <f>IF(ISNUMBER(I63),IF($L$11&lt;&gt;0,I63/$L$11,""),"")</f>
        <v/>
      </c>
      <c r="M63" s="76" t="n"/>
    </row>
    <row r="64" ht="13.8" customHeight="1">
      <c r="A64" s="75" t="n"/>
      <c r="B64" s="153">
        <f>""&amp;Deflatores!B59</f>
        <v/>
      </c>
      <c r="C64" s="182" t="n"/>
      <c r="D64" s="36">
        <f>""&amp;Deflatores!G59</f>
        <v/>
      </c>
      <c r="E64" s="37">
        <f>Deflatores!J59</f>
        <v/>
      </c>
      <c r="H64" s="38">
        <f>IF(ISBLANK(Deflatores!H59),"",Deflatores!H59)</f>
        <v/>
      </c>
      <c r="I64" s="38">
        <f>IF(ISNUMBER(H64),E64*H64,"")</f>
        <v/>
      </c>
      <c r="J64" s="39">
        <f>IF(ISNUMBER(I64),IF($L$11&lt;&gt;0,I64/$L$11,""),"")</f>
        <v/>
      </c>
      <c r="M64" s="76" t="n"/>
    </row>
    <row r="65" ht="13.8" customHeight="1">
      <c r="A65" s="75" t="n"/>
      <c r="B65" s="153">
        <f>""&amp;Deflatores!B60</f>
        <v/>
      </c>
      <c r="C65" s="182" t="n"/>
      <c r="D65" s="36">
        <f>""&amp;Deflatores!G60</f>
        <v/>
      </c>
      <c r="E65" s="37">
        <f>Deflatores!J60</f>
        <v/>
      </c>
      <c r="H65" s="38">
        <f>IF(ISBLANK(Deflatores!H60),"",Deflatores!H60)</f>
        <v/>
      </c>
      <c r="I65" s="38">
        <f>IF(ISNUMBER(H65),E65*H65,"")</f>
        <v/>
      </c>
      <c r="J65" s="39">
        <f>IF(ISNUMBER(I65),IF($L$11&lt;&gt;0,I65/$L$11,""),"")</f>
        <v/>
      </c>
      <c r="M65" s="76" t="n"/>
    </row>
    <row r="66" ht="13.8" customHeight="1">
      <c r="A66" s="75" t="n"/>
      <c r="B66" s="153">
        <f>""&amp;Deflatores!B61</f>
        <v/>
      </c>
      <c r="C66" s="182" t="n"/>
      <c r="D66" s="36">
        <f>""&amp;Deflatores!G61</f>
        <v/>
      </c>
      <c r="E66" s="37">
        <f>Deflatores!J61</f>
        <v/>
      </c>
      <c r="H66" s="38">
        <f>IF(ISBLANK(Deflatores!H61),"",Deflatores!H61)</f>
        <v/>
      </c>
      <c r="I66" s="38">
        <f>IF(ISNUMBER(H66),E66*H66,"")</f>
        <v/>
      </c>
      <c r="J66" s="39">
        <f>IF(ISNUMBER(I66),IF($L$11&lt;&gt;0,I66/$L$11,""),"")</f>
        <v/>
      </c>
      <c r="M66" s="76" t="n"/>
    </row>
    <row r="67" ht="13.8" customHeight="1">
      <c r="A67" s="75" t="n"/>
      <c r="B67" s="153">
        <f>""&amp;Deflatores!B62</f>
        <v/>
      </c>
      <c r="C67" s="182" t="n"/>
      <c r="D67" s="36">
        <f>""&amp;Deflatores!G62</f>
        <v/>
      </c>
      <c r="E67" s="37">
        <f>Deflatores!J62</f>
        <v/>
      </c>
      <c r="H67" s="38">
        <f>IF(ISBLANK(Deflatores!H62),"",Deflatores!H62)</f>
        <v/>
      </c>
      <c r="I67" s="38">
        <f>IF(ISNUMBER(H67),E67*H67,"")</f>
        <v/>
      </c>
      <c r="J67" s="39">
        <f>IF(ISNUMBER(I67),IF($L$11&lt;&gt;0,I67/$L$11,""),"")</f>
        <v/>
      </c>
      <c r="M67" s="76" t="n"/>
    </row>
    <row r="68" ht="13.8" customHeight="1">
      <c r="A68" s="75" t="n"/>
      <c r="B68" s="153">
        <f>""&amp;Deflatores!B63</f>
        <v/>
      </c>
      <c r="C68" s="182" t="n"/>
      <c r="D68" s="36">
        <f>""&amp;Deflatores!G63</f>
        <v/>
      </c>
      <c r="E68" s="37">
        <f>Deflatores!J63</f>
        <v/>
      </c>
      <c r="H68" s="38">
        <f>IF(ISBLANK(Deflatores!H63),"",Deflatores!H63)</f>
        <v/>
      </c>
      <c r="I68" s="38">
        <f>IF(ISNUMBER(H68),E68*H68,"")</f>
        <v/>
      </c>
      <c r="J68" s="39">
        <f>IF(ISNUMBER(I68),IF($L$11&lt;&gt;0,I68/$L$11,""),"")</f>
        <v/>
      </c>
      <c r="M68" s="76" t="n"/>
    </row>
    <row r="69" ht="13.8" customHeight="1">
      <c r="A69" s="75" t="n"/>
      <c r="B69" s="153">
        <f>""&amp;Deflatores!B64</f>
        <v/>
      </c>
      <c r="C69" s="182" t="n"/>
      <c r="D69" s="36">
        <f>""&amp;Deflatores!G64</f>
        <v/>
      </c>
      <c r="E69" s="37">
        <f>Deflatores!J64</f>
        <v/>
      </c>
      <c r="F69" s="42" t="n"/>
      <c r="G69" s="42" t="n"/>
      <c r="H69" s="38">
        <f>IF(ISBLANK(Deflatores!H64),"",Deflatores!H64)</f>
        <v/>
      </c>
      <c r="I69" s="38">
        <f>IF(ISNUMBER(H69),E69*H69,"")</f>
        <v/>
      </c>
      <c r="J69" s="39">
        <f>IF(ISNUMBER(I69),IF($L$11&lt;&gt;0,I69/$L$11,""),"")</f>
        <v/>
      </c>
      <c r="M69" s="76" t="n"/>
    </row>
    <row r="70" ht="13.8" customHeight="1">
      <c r="A70" s="78" t="n"/>
      <c r="B70" s="79" t="n"/>
      <c r="C70" s="80" t="n"/>
      <c r="D70" s="81" t="n"/>
      <c r="E70" s="82" t="n"/>
      <c r="F70" s="83" t="n"/>
      <c r="G70" s="83" t="n"/>
      <c r="H70" s="84" t="n"/>
      <c r="I70" s="85" t="n"/>
      <c r="J70" s="80" t="n"/>
      <c r="K70" s="80" t="n"/>
      <c r="L70" s="80" t="n"/>
      <c r="M70" s="86" t="n"/>
    </row>
  </sheetData>
  <mergeCells count="68">
    <mergeCell ref="F4:M4"/>
    <mergeCell ref="B47:C47"/>
    <mergeCell ref="B62:C62"/>
    <mergeCell ref="B16:C16"/>
    <mergeCell ref="B54:C54"/>
    <mergeCell ref="B25:C25"/>
    <mergeCell ref="B59:C59"/>
    <mergeCell ref="B22:C22"/>
    <mergeCell ref="B66:C66"/>
    <mergeCell ref="F6:M6"/>
    <mergeCell ref="B31:C31"/>
    <mergeCell ref="B27:C27"/>
    <mergeCell ref="B56:C56"/>
    <mergeCell ref="B18:C18"/>
    <mergeCell ref="A6:E6"/>
    <mergeCell ref="B43:C43"/>
    <mergeCell ref="B58:C58"/>
    <mergeCell ref="B39:C39"/>
    <mergeCell ref="B12:C12"/>
    <mergeCell ref="B52:C52"/>
    <mergeCell ref="B21:C21"/>
    <mergeCell ref="B48:C48"/>
    <mergeCell ref="B11:C11"/>
    <mergeCell ref="B67:C67"/>
    <mergeCell ref="B42:C42"/>
    <mergeCell ref="B23:C23"/>
    <mergeCell ref="B9:D9"/>
    <mergeCell ref="B61:C61"/>
    <mergeCell ref="B14:C14"/>
    <mergeCell ref="B60:C60"/>
    <mergeCell ref="F5:M5"/>
    <mergeCell ref="B17:C17"/>
    <mergeCell ref="B57:C57"/>
    <mergeCell ref="B8:I8"/>
    <mergeCell ref="B53:C53"/>
    <mergeCell ref="B13:C13"/>
    <mergeCell ref="B69:C69"/>
    <mergeCell ref="B44:C44"/>
    <mergeCell ref="B38:C38"/>
    <mergeCell ref="B29:C29"/>
    <mergeCell ref="A1:M3"/>
    <mergeCell ref="B19:C19"/>
    <mergeCell ref="B34:C34"/>
    <mergeCell ref="B10:C10"/>
    <mergeCell ref="B28:C28"/>
    <mergeCell ref="B37:C37"/>
    <mergeCell ref="A5:E5"/>
    <mergeCell ref="B40:C40"/>
    <mergeCell ref="B49:C49"/>
    <mergeCell ref="B65:C65"/>
    <mergeCell ref="B55:C55"/>
    <mergeCell ref="B24:C24"/>
    <mergeCell ref="A4:E4"/>
    <mergeCell ref="B30:C30"/>
    <mergeCell ref="B15:C15"/>
    <mergeCell ref="B33:C33"/>
    <mergeCell ref="B68:C68"/>
    <mergeCell ref="B46:D46"/>
    <mergeCell ref="B64:C64"/>
    <mergeCell ref="B51:C51"/>
    <mergeCell ref="B20:C20"/>
    <mergeCell ref="B36:C36"/>
    <mergeCell ref="B32:C32"/>
    <mergeCell ref="B50:C50"/>
    <mergeCell ref="B63:C63"/>
    <mergeCell ref="B26:C26"/>
    <mergeCell ref="B41:C41"/>
    <mergeCell ref="B35:C35"/>
  </mergeCells>
  <pageMargins left="0.7875" right="0.7875" top="1.023611111111111" bottom="1.023611111111111" header="0.5118055555555555" footer="0.7875"/>
  <pageSetup orientation="portrait" paperSize="9" scale="47" firstPageNumber="0" horizontalDpi="300" verticalDpi="300"/>
  <headerFooter alignWithMargins="0">
    <oddHeader/>
    <oddFooter>&amp;CPágina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Fatto Consultoria e Sistemas</dc:creator>
  <dcterms:created xmlns:dcterms="http://purl.org/dc/terms/" xmlns:xsi="http://www.w3.org/2001/XMLSchema-instance" xsi:type="dcterms:W3CDTF">2015-06-26T19:24:40Z</dcterms:created>
  <dcterms:modified xmlns:dcterms="http://purl.org/dc/terms/" xmlns:xsi="http://www.w3.org/2001/XMLSchema-instance" xsi:type="dcterms:W3CDTF">2026-09-24T16:57:20Z</dcterms:modified>
  <cp:lastModifiedBy>Amanda Araujo de Sousa</cp:lastModifiedBy>
</cp:coreProperties>
</file>

<file path=docProps/custom.xml><?xml version="1.0" encoding="utf-8"?>
<Properties xmlns="http://schemas.openxmlformats.org/officeDocument/2006/custom-properties">
  <property name="lcf76f155ced4ddcb4097134ff3c332f" fmtid="{D5CDD505-2E9C-101B-9397-08002B2CF9AE}" pid="2">
    <vt:lpwstr xmlns:vt="http://schemas.openxmlformats.org/officeDocument/2006/docPropsVTypes"/>
  </property>
  <property name="TaxCatchAll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ContentTypeId" fmtid="{D5CDD505-2E9C-101B-9397-08002B2CF9AE}" pid="5">
    <vt:lpwstr xmlns:vt="http://schemas.openxmlformats.org/officeDocument/2006/docPropsVTypes">0x01010002199BDE7F93174582BAA2171C2133F4</vt:lpwstr>
  </property>
</Properties>
</file>